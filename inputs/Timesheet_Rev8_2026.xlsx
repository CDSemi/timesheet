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1D7B04A6-1D4E-4EE0-B246-D5B717AD55B0}" xr6:coauthVersionLast="47" xr6:coauthVersionMax="47" xr10:uidLastSave="{00000000-0000-0000-0000-000000000000}"/>
  <bookViews>
    <workbookView xWindow="-18617" yWindow="-7929" windowWidth="18720" windowHeight="32400" activeTab="2" xr2:uid="{00000000-000D-0000-FFFF-FFFF00000000}"/>
  </bookViews>
  <sheets>
    <sheet name="Working Infos" sheetId="2" r:id="rId1"/>
    <sheet name="Holiday Dates" sheetId="3" r:id="rId2"/>
    <sheet name="Timesheet" sheetId="39" r:id="rId3"/>
  </sheets>
  <definedNames>
    <definedName name="Type">'Working Infos'!$A$1:$A$9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9" l="1" a="1"/>
  <c r="I10" i="39" s="1"/>
  <c r="W26" i="39"/>
  <c r="Z23" i="39"/>
  <c r="V23" i="39"/>
  <c r="R23" i="39"/>
  <c r="N23" i="39"/>
  <c r="J23" i="39"/>
  <c r="F23" i="39"/>
  <c r="B23" i="39"/>
  <c r="AB18" i="39"/>
  <c r="Z18" i="39"/>
  <c r="V18" i="39"/>
  <c r="AB17" i="39"/>
  <c r="Z17" i="39"/>
  <c r="V17" i="39"/>
  <c r="Z16" i="39"/>
  <c r="V16" i="39"/>
  <c r="R16" i="39"/>
  <c r="N16" i="39"/>
  <c r="J16" i="39"/>
  <c r="F16" i="39"/>
  <c r="B16" i="39"/>
  <c r="X24" i="39" s="1"/>
  <c r="R13" i="39" l="1"/>
  <c r="R14" i="39" s="1"/>
  <c r="N13" i="39"/>
  <c r="N14" i="39" s="1"/>
  <c r="V13" i="39"/>
  <c r="N20" i="39"/>
  <c r="N21" i="39" s="1"/>
  <c r="Z13" i="39"/>
  <c r="J13" i="39"/>
  <c r="J14" i="39" s="1"/>
  <c r="Z20" i="39"/>
  <c r="J20" i="39"/>
  <c r="J21" i="39" s="1"/>
  <c r="B20" i="39"/>
  <c r="B21" i="39" s="1"/>
  <c r="F13" i="39"/>
  <c r="F14" i="39" s="1"/>
  <c r="A12" i="39"/>
  <c r="V20" i="39"/>
  <c r="R20" i="39"/>
  <c r="F20" i="39"/>
  <c r="F21" i="39" s="1"/>
  <c r="B13" i="39"/>
  <c r="B14" i="39" s="1"/>
  <c r="A19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<sst xmlns="http://schemas.openxmlformats.org/spreadsheetml/2006/main" count="80" uniqueCount="66">
  <si>
    <t>TIME SHEET FOR SALARIED EXEMPT EMPLOYEES</t>
  </si>
  <si>
    <t>Please turn in by the Tuesday before the payroll date.</t>
  </si>
  <si>
    <t>Payroll Date:</t>
  </si>
  <si>
    <t>Employee:</t>
  </si>
  <si>
    <t>Monday</t>
  </si>
  <si>
    <t>Tuesday</t>
  </si>
  <si>
    <t>Wednesday</t>
  </si>
  <si>
    <t>Thursday</t>
  </si>
  <si>
    <t>Friday</t>
  </si>
  <si>
    <t>Employee Signature</t>
  </si>
  <si>
    <t>Manager Signature</t>
  </si>
  <si>
    <t>Date</t>
  </si>
  <si>
    <t>Worked</t>
  </si>
  <si>
    <t>WEEK</t>
  </si>
  <si>
    <t>Holiday</t>
  </si>
  <si>
    <t>Vacation</t>
  </si>
  <si>
    <t>New Year's Day</t>
  </si>
  <si>
    <t>Memorial Day</t>
  </si>
  <si>
    <t>Labor Day</t>
  </si>
  <si>
    <t>Thanksgiving Day</t>
  </si>
  <si>
    <t>Christmas Day</t>
  </si>
  <si>
    <t>Shutdown</t>
  </si>
  <si>
    <t>Sick Day</t>
  </si>
  <si>
    <t>Work from home</t>
  </si>
  <si>
    <t>OT</t>
  </si>
  <si>
    <t>Minutes</t>
  </si>
  <si>
    <t>Working Info</t>
  </si>
  <si>
    <t>Hour</t>
  </si>
  <si>
    <t>C&amp;D Semiconductor Services, Inc.</t>
  </si>
  <si>
    <t>hours</t>
  </si>
  <si>
    <t>Overtime Total :</t>
  </si>
  <si>
    <t>Sunday</t>
  </si>
  <si>
    <t>Saturday</t>
  </si>
  <si>
    <t>+00:30 AM</t>
  </si>
  <si>
    <t>+00:00 AM</t>
  </si>
  <si>
    <t>+01:00 AM</t>
  </si>
  <si>
    <t>+01:30 AM</t>
  </si>
  <si>
    <t>+02:00 AM</t>
  </si>
  <si>
    <t>+02:30 AM</t>
  </si>
  <si>
    <t>+03:00 AM</t>
  </si>
  <si>
    <t>+03:30 AM</t>
  </si>
  <si>
    <t>+04:00 AM</t>
  </si>
  <si>
    <t>+04:30 AM</t>
  </si>
  <si>
    <t>+05:00 AM</t>
  </si>
  <si>
    <t>+05:30 AM</t>
  </si>
  <si>
    <t>+06:00 AM</t>
  </si>
  <si>
    <t>+06:30 AM</t>
  </si>
  <si>
    <t>+07:00 AM</t>
  </si>
  <si>
    <t>+07:30 AM</t>
  </si>
  <si>
    <t>+08:00 AM</t>
  </si>
  <si>
    <t>+08:30 AM</t>
  </si>
  <si>
    <t>+09:00 AM</t>
  </si>
  <si>
    <t>+09:30 AM</t>
  </si>
  <si>
    <t>+10:00 AM</t>
  </si>
  <si>
    <t>+10:30 AM</t>
  </si>
  <si>
    <t>+11:00 AM</t>
  </si>
  <si>
    <t>+11:30 AM</t>
  </si>
  <si>
    <t>+12:00 AM</t>
  </si>
  <si>
    <t>+12:30 AM</t>
  </si>
  <si>
    <t>+13:00 AM</t>
  </si>
  <si>
    <t>Payroll Date</t>
  </si>
  <si>
    <t>Instructions: Please fill each day with either "Worked", "Sick", "Vacation", "Holiday", or "Shutdown"</t>
  </si>
  <si>
    <t>Off Day (Overtime Used)</t>
  </si>
  <si>
    <t>Floating Holiday</t>
  </si>
  <si>
    <t>Presidents Day</t>
  </si>
  <si>
    <t>Observed Independence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</si>
</sst>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yyyy\-mm\-dd;@"/>
    <numFmt numFmtId="166" formatCode="mm/dd/yyyy"/>
  </numFmts>
  <fonts count="2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empus Sans ITC"/>
      <family val="5"/>
    </font>
    <font>
      <sz val="11"/>
      <color theme="1"/>
      <name val="Segoe Script"/>
      <family val="2"/>
    </font>
    <font>
      <b/>
      <sz val="11"/>
      <color theme="1"/>
      <name val="Segoe Script"/>
      <family val="2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7"/>
      <name val="Rage Italic"/>
      <family val="4"/>
    </font>
    <font>
      <b/>
      <sz val="11"/>
      <color theme="1"/>
      <name val="Calibri"/>
      <family val="2"/>
      <scheme val="minor"/>
    </font>
    <font>
      <sz val="11"/>
      <color theme="1"/>
      <name val="Copperplate Gothic Light"/>
      <family val="2"/>
    </font>
    <font>
      <b/>
      <sz val="11"/>
      <color theme="1"/>
      <name val="Copperplate Gothic Light"/>
      <family val="2"/>
    </font>
    <font>
      <sz val="8"/>
      <color theme="1"/>
      <name val="Lithos Pro Regular"/>
      <family val="5"/>
    </font>
    <font>
      <sz val="9"/>
      <color theme="1"/>
      <name val="Segoe Script"/>
      <family val="2"/>
    </font>
    <font>
      <b/>
      <sz val="10"/>
      <color theme="1"/>
      <name val="Copperplate Gothic Bold"/>
      <family val="2"/>
    </font>
    <font>
      <sz val="11"/>
      <color theme="1"/>
      <name val="Yu Gothic Medium"/>
      <family val="2"/>
    </font>
    <font>
      <sz val="6"/>
      <color theme="1"/>
      <name val="Orator Std"/>
      <family val="3"/>
    </font>
    <font>
      <sz val="8"/>
      <color rgb="FFFAFAFA"/>
      <name val="Lithos Pro Regular"/>
      <family val="5"/>
    </font>
    <font>
      <sz val="11"/>
      <color rgb="FFFAFAFA"/>
      <name val="Times New Roman"/>
      <family val="1"/>
    </font>
    <font>
      <b/>
      <sz val="10"/>
      <color theme="1"/>
      <name val="Copperplate Gothic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6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5" fillId="0" borderId="5" xfId="0" applyFont="1" applyBorder="1" applyAlignment="1">
      <alignment wrapText="1"/>
    </xf>
    <xf numFmtId="0" fontId="12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6" fillId="0" borderId="6" xfId="0" applyFont="1" applyBorder="1" applyAlignment="1">
      <alignment horizontal="left" vertical="top"/>
    </xf>
    <xf numFmtId="0" fontId="1" fillId="3" borderId="1" xfId="0" applyFont="1" applyFill="1" applyBorder="1" applyAlignment="1">
      <alignment vertical="center" textRotation="90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quotePrefix="1" applyNumberFormat="1"/>
    <xf numFmtId="0" fontId="1" fillId="0" borderId="0" xfId="0" applyFont="1" applyAlignment="1">
      <alignment vertical="center" textRotation="90"/>
    </xf>
    <xf numFmtId="166" fontId="0" fillId="0" borderId="0" xfId="0" applyNumberFormat="1"/>
    <xf numFmtId="14" fontId="1" fillId="0" borderId="0" xfId="0" applyNumberFormat="1" applyFont="1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5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/>
    </xf>
    <xf numFmtId="0" fontId="2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1" fillId="3" borderId="7" xfId="0" applyFont="1" applyFill="1" applyBorder="1" applyAlignment="1">
      <alignment vertical="center" textRotation="90"/>
    </xf>
    <xf numFmtId="0" fontId="1" fillId="3" borderId="10" xfId="0" applyFont="1" applyFill="1" applyBorder="1" applyAlignment="1">
      <alignment vertical="center" textRotation="90"/>
    </xf>
    <xf numFmtId="164" fontId="17" fillId="0" borderId="2" xfId="0" applyNumberFormat="1" applyFont="1" applyBorder="1" applyAlignment="1">
      <alignment horizontal="center" vertical="center" wrapText="1"/>
    </xf>
    <xf numFmtId="164" fontId="17" fillId="0" borderId="4" xfId="0" applyNumberFormat="1" applyFont="1" applyBorder="1" applyAlignment="1">
      <alignment horizontal="center" vertical="center" wrapText="1"/>
    </xf>
    <xf numFmtId="14" fontId="16" fillId="3" borderId="8" xfId="0" applyNumberFormat="1" applyFont="1" applyFill="1" applyBorder="1" applyAlignment="1">
      <alignment horizontal="center" vertical="top"/>
    </xf>
    <xf numFmtId="14" fontId="16" fillId="3" borderId="6" xfId="0" applyNumberFormat="1" applyFont="1" applyFill="1" applyBorder="1" applyAlignment="1">
      <alignment horizontal="center" vertical="top"/>
    </xf>
    <xf numFmtId="14" fontId="16" fillId="3" borderId="9" xfId="0" applyNumberFormat="1" applyFont="1" applyFill="1" applyBorder="1" applyAlignment="1">
      <alignment horizontal="center" vertical="top"/>
    </xf>
    <xf numFmtId="14" fontId="16" fillId="4" borderId="8" xfId="0" applyNumberFormat="1" applyFont="1" applyFill="1" applyBorder="1" applyAlignment="1">
      <alignment horizontal="center" vertical="top"/>
    </xf>
    <xf numFmtId="14" fontId="16" fillId="4" borderId="6" xfId="0" applyNumberFormat="1" applyFont="1" applyFill="1" applyBorder="1" applyAlignment="1">
      <alignment horizontal="center" vertical="top"/>
    </xf>
    <xf numFmtId="14" fontId="16" fillId="4" borderId="9" xfId="0" applyNumberFormat="1" applyFont="1" applyFill="1" applyBorder="1" applyAlignment="1">
      <alignment horizontal="center" vertical="top"/>
    </xf>
    <xf numFmtId="0" fontId="19" fillId="0" borderId="6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3" borderId="1" xfId="0" applyFont="1" applyFill="1" applyBorder="1" applyAlignment="1">
      <alignment vertical="center" textRotation="90"/>
    </xf>
    <xf numFmtId="0" fontId="15" fillId="3" borderId="7" xfId="0" applyFont="1" applyFill="1" applyBorder="1" applyAlignment="1">
      <alignment horizontal="center" vertical="top"/>
    </xf>
    <xf numFmtId="0" fontId="15" fillId="4" borderId="7" xfId="0" applyFont="1" applyFill="1" applyBorder="1" applyAlignment="1">
      <alignment horizontal="center" vertical="top"/>
    </xf>
    <xf numFmtId="0" fontId="13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0" fillId="0" borderId="6" xfId="0" applyNumberFormat="1" applyBorder="1" applyAlignment="1">
      <alignment horizontal="left" vertical="top"/>
    </xf>
    <xf numFmtId="14" fontId="4" fillId="0" borderId="6" xfId="0" applyNumberFormat="1" applyFont="1" applyBorder="1" applyAlignment="1">
      <alignment horizontal="left" vertical="top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0" formatCode="General"/>
    </dxf>
    <dxf>
      <numFmt numFmtId="164" formatCode="[$-409]h:mm\ AM/P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EBDC7-102F-4CA8-A589-CEA49668127C}" name="WorkingData" displayName="WorkingData" ref="A1:A9" totalsRowShown="0" headerRowDxfId="11">
  <autoFilter ref="A1:A9" xr:uid="{AB9EBDC7-102F-4CA8-A589-CEA49668127C}"/>
  <tableColumns count="1">
    <tableColumn id="1" xr3:uid="{BDFA9642-C061-4778-A821-5BBAA681F188}" name="Working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3A63BA-9678-40DD-83CA-B2F35F8E0C68}" name="OvertimeData" displayName="OvertimeData" ref="C1:D77" totalsRowShown="0">
  <autoFilter ref="C1:D77" xr:uid="{6D3A63BA-9678-40DD-83CA-B2F35F8E0C68}"/>
  <tableColumns count="2">
    <tableColumn id="1" xr3:uid="{FEDF5849-35F3-479E-A581-0650C7C3B707}" name="Hour" dataDxfId="10"/>
    <tableColumn id="2" xr3:uid="{EA5DA75B-AF71-406A-A0BF-9DD4C361A516}" name="Minutes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280C0-753B-4ECB-814B-E8A4E867D62D}" name="Payrolls" displayName="Payrolls" ref="A12:A353" totalsRowCount="1" headerRowDxfId="8" dataDxfId="7">
  <autoFilter ref="A12:A352" xr:uid="{8FD280C0-753B-4ECB-814B-E8A4E867D62D}"/>
  <tableColumns count="1">
    <tableColumn id="1" xr3:uid="{7BCEF77B-9D2C-4A11-9741-3F22AC71C71B}" name="Payroll Date" dataDxfId="6" totalsRow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D97FB0-D1A9-49CD-88B0-314122F68BBC}" name="HolidayData" displayName="HolidayData" ref="A1:B10" headerRowDxfId="4">
  <autoFilter ref="A1:B10" xr:uid="{E1D97FB0-D1A9-49CD-88B0-314122F68BBC}"/>
  <tableColumns count="2">
    <tableColumn id="1" xr3:uid="{BD9B1E31-37DA-491A-94A8-872A554F74A1}" name="Date" totalsRowLabel="Total" dataDxfId="3" totalsRowDxfId="2"/>
    <tableColumn id="2" xr3:uid="{16C5779E-9AF0-485E-894F-4D83442D66DE}" name="Holiday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3"/>
  <sheetViews>
    <sheetView topLeftCell="A25" workbookViewId="0">
      <selection activeCell="A98" sqref="A98"/>
    </sheetView>
  </sheetViews>
  <sheetFormatPr defaultRowHeight="14.5"/>
  <cols>
    <col min="1" max="1" width="15.7265625" bestFit="1" customWidth="1"/>
    <col min="2" max="2" width="9" style="13"/>
    <col min="3" max="3" width="10" style="12" bestFit="1" customWidth="1"/>
    <col min="4" max="4" width="11.7265625" bestFit="1" customWidth="1"/>
  </cols>
  <sheetData>
    <row r="1" spans="1:4" s="10" customFormat="1">
      <c r="A1" s="10" t="s">
        <v>26</v>
      </c>
      <c r="C1" s="11" t="s">
        <v>27</v>
      </c>
      <c r="D1" s="10" t="s">
        <v>25</v>
      </c>
    </row>
    <row r="2" spans="1:4">
      <c r="A2" s="20"/>
      <c r="B2"/>
      <c r="C2" s="21"/>
      <c r="D2" s="20">
        <v>-1</v>
      </c>
    </row>
    <row r="3" spans="1:4">
      <c r="A3" t="s">
        <v>12</v>
      </c>
      <c r="C3" s="12">
        <v>0</v>
      </c>
      <c r="D3">
        <v>0</v>
      </c>
    </row>
    <row r="4" spans="1:4">
      <c r="A4" t="s">
        <v>62</v>
      </c>
      <c r="C4" s="12">
        <v>2.0833333333333332E-2</v>
      </c>
      <c r="D4">
        <v>30</v>
      </c>
    </row>
    <row r="5" spans="1:4">
      <c r="A5" t="s">
        <v>21</v>
      </c>
      <c r="C5" s="12">
        <v>4.1666666666666664E-2</v>
      </c>
      <c r="D5">
        <v>60</v>
      </c>
    </row>
    <row r="6" spans="1:4">
      <c r="A6" t="s">
        <v>14</v>
      </c>
      <c r="C6" s="12">
        <v>6.25E-2</v>
      </c>
      <c r="D6">
        <v>90</v>
      </c>
    </row>
    <row r="7" spans="1:4">
      <c r="A7" t="s">
        <v>22</v>
      </c>
      <c r="C7" s="12">
        <v>8.3333333333333329E-2</v>
      </c>
      <c r="D7">
        <v>120</v>
      </c>
    </row>
    <row r="8" spans="1:4">
      <c r="A8" t="s">
        <v>15</v>
      </c>
      <c r="C8" s="12">
        <v>0.10416666666666667</v>
      </c>
      <c r="D8">
        <v>150</v>
      </c>
    </row>
    <row r="9" spans="1:4">
      <c r="A9" t="s">
        <v>23</v>
      </c>
      <c r="C9" s="12">
        <v>0.125</v>
      </c>
      <c r="D9">
        <v>180</v>
      </c>
    </row>
    <row r="10" spans="1:4">
      <c r="C10" s="12">
        <v>0.14583333333333334</v>
      </c>
      <c r="D10">
        <v>210</v>
      </c>
    </row>
    <row r="11" spans="1:4">
      <c r="C11" s="12">
        <v>0.16666666666666666</v>
      </c>
      <c r="D11">
        <v>240</v>
      </c>
    </row>
    <row r="12" spans="1:4">
      <c r="A12" s="24" t="s">
        <v>60</v>
      </c>
      <c r="C12" s="12">
        <v>0.1875</v>
      </c>
      <c r="D12">
        <v>270</v>
      </c>
    </row>
    <row r="13" spans="1:4">
      <c r="A13" s="24">
        <v>44925</v>
      </c>
      <c r="C13" s="12">
        <v>0.20833333333333334</v>
      </c>
      <c r="D13">
        <v>300</v>
      </c>
    </row>
    <row r="14" spans="1:4">
      <c r="A14" s="24">
        <v>44939</v>
      </c>
      <c r="C14" s="12">
        <v>0.22916666666666666</v>
      </c>
      <c r="D14">
        <v>330</v>
      </c>
    </row>
    <row r="15" spans="1:4">
      <c r="A15" s="24">
        <v>44953</v>
      </c>
      <c r="C15" s="12">
        <v>0.25</v>
      </c>
      <c r="D15">
        <v>360</v>
      </c>
    </row>
    <row r="16" spans="1:4">
      <c r="A16" s="24">
        <v>44967</v>
      </c>
      <c r="C16" s="12">
        <v>0.27083333333333331</v>
      </c>
      <c r="D16">
        <v>390</v>
      </c>
    </row>
    <row r="17" spans="1:4">
      <c r="A17" s="24">
        <v>44981</v>
      </c>
      <c r="C17" s="12">
        <v>0.29166666666666669</v>
      </c>
      <c r="D17">
        <v>420</v>
      </c>
    </row>
    <row r="18" spans="1:4">
      <c r="A18" s="24">
        <v>44995</v>
      </c>
      <c r="C18" s="12">
        <v>0.3125</v>
      </c>
      <c r="D18">
        <v>450</v>
      </c>
    </row>
    <row r="19" spans="1:4">
      <c r="A19" s="24">
        <v>45009</v>
      </c>
      <c r="C19" s="12">
        <v>0.33333333333333331</v>
      </c>
      <c r="D19">
        <v>480</v>
      </c>
    </row>
    <row r="20" spans="1:4">
      <c r="A20" s="24">
        <v>45023</v>
      </c>
      <c r="C20" s="12">
        <v>0.35416666666666669</v>
      </c>
      <c r="D20">
        <v>510</v>
      </c>
    </row>
    <row r="21" spans="1:4">
      <c r="A21" s="24">
        <v>45037</v>
      </c>
      <c r="C21" s="12">
        <v>0.375</v>
      </c>
      <c r="D21">
        <v>540</v>
      </c>
    </row>
    <row r="22" spans="1:4">
      <c r="A22" s="24">
        <v>45051</v>
      </c>
      <c r="C22" s="12">
        <v>0.39583333333333331</v>
      </c>
      <c r="D22">
        <v>570</v>
      </c>
    </row>
    <row r="23" spans="1:4">
      <c r="A23" s="24">
        <v>45065</v>
      </c>
      <c r="C23" s="12">
        <v>0.41666666666666669</v>
      </c>
      <c r="D23">
        <v>600</v>
      </c>
    </row>
    <row r="24" spans="1:4">
      <c r="A24" s="24">
        <v>45079</v>
      </c>
      <c r="C24" s="12">
        <v>0.4375</v>
      </c>
      <c r="D24">
        <v>630</v>
      </c>
    </row>
    <row r="25" spans="1:4">
      <c r="A25" s="24">
        <v>45093</v>
      </c>
      <c r="C25" s="12">
        <v>0.45833333333333331</v>
      </c>
      <c r="D25">
        <v>660</v>
      </c>
    </row>
    <row r="26" spans="1:4">
      <c r="A26" s="24">
        <v>45107</v>
      </c>
      <c r="C26" s="12">
        <v>0.47916666666666669</v>
      </c>
      <c r="D26">
        <v>690</v>
      </c>
    </row>
    <row r="27" spans="1:4">
      <c r="A27" s="24">
        <v>45121</v>
      </c>
      <c r="C27" s="12">
        <v>0.5</v>
      </c>
      <c r="D27">
        <v>720</v>
      </c>
    </row>
    <row r="28" spans="1:4">
      <c r="A28" s="24">
        <v>45135</v>
      </c>
      <c r="C28" s="12">
        <v>0.52083333333333337</v>
      </c>
      <c r="D28">
        <v>750</v>
      </c>
    </row>
    <row r="29" spans="1:4">
      <c r="A29" s="24">
        <v>45149</v>
      </c>
      <c r="C29" s="12">
        <v>0.54166666666666663</v>
      </c>
      <c r="D29">
        <v>780</v>
      </c>
    </row>
    <row r="30" spans="1:4">
      <c r="A30" s="24">
        <v>45163</v>
      </c>
      <c r="C30" s="12">
        <v>0.5625</v>
      </c>
      <c r="D30">
        <v>810</v>
      </c>
    </row>
    <row r="31" spans="1:4">
      <c r="A31" s="24">
        <v>45177</v>
      </c>
      <c r="C31" s="12">
        <v>0.58333333333333337</v>
      </c>
      <c r="D31">
        <v>840</v>
      </c>
    </row>
    <row r="32" spans="1:4">
      <c r="A32" s="24">
        <v>45191</v>
      </c>
      <c r="C32" s="12">
        <v>0.60416666666666663</v>
      </c>
      <c r="D32">
        <v>870</v>
      </c>
    </row>
    <row r="33" spans="1:4">
      <c r="A33" s="24">
        <v>45205</v>
      </c>
      <c r="C33" s="12">
        <v>0.625</v>
      </c>
      <c r="D33">
        <v>900</v>
      </c>
    </row>
    <row r="34" spans="1:4">
      <c r="A34" s="24">
        <v>45219</v>
      </c>
      <c r="C34" s="12">
        <v>0.64583333333333337</v>
      </c>
      <c r="D34">
        <v>930</v>
      </c>
    </row>
    <row r="35" spans="1:4">
      <c r="A35" s="24">
        <v>45233</v>
      </c>
      <c r="C35" s="12">
        <v>0.66666666666666663</v>
      </c>
      <c r="D35">
        <v>960</v>
      </c>
    </row>
    <row r="36" spans="1:4">
      <c r="A36" s="24">
        <v>45247</v>
      </c>
      <c r="C36" s="12">
        <v>0.6875</v>
      </c>
      <c r="D36">
        <v>990</v>
      </c>
    </row>
    <row r="37" spans="1:4">
      <c r="A37" s="24">
        <v>45261</v>
      </c>
      <c r="C37" s="12">
        <v>0.70833333333333337</v>
      </c>
      <c r="D37">
        <v>1020</v>
      </c>
    </row>
    <row r="38" spans="1:4">
      <c r="A38" s="24">
        <v>45275</v>
      </c>
      <c r="C38" s="12">
        <v>0.72916666666666663</v>
      </c>
      <c r="D38">
        <v>1050</v>
      </c>
    </row>
    <row r="39" spans="1:4">
      <c r="A39" s="24">
        <v>45289</v>
      </c>
      <c r="C39" s="12">
        <v>0.75</v>
      </c>
      <c r="D39">
        <v>1080</v>
      </c>
    </row>
    <row r="40" spans="1:4">
      <c r="A40" s="24">
        <v>45303</v>
      </c>
      <c r="C40" s="12">
        <v>0.77083333333333337</v>
      </c>
      <c r="D40">
        <v>1110</v>
      </c>
    </row>
    <row r="41" spans="1:4">
      <c r="A41" s="24">
        <v>45317</v>
      </c>
      <c r="C41" s="12">
        <v>0.79166666666666663</v>
      </c>
      <c r="D41">
        <v>1140</v>
      </c>
    </row>
    <row r="42" spans="1:4">
      <c r="A42" s="24">
        <v>45331</v>
      </c>
      <c r="C42" s="12">
        <v>0.8125</v>
      </c>
      <c r="D42">
        <v>1170</v>
      </c>
    </row>
    <row r="43" spans="1:4">
      <c r="A43" s="24">
        <v>45345</v>
      </c>
      <c r="C43" s="12">
        <v>0.83333333333333337</v>
      </c>
      <c r="D43">
        <v>1200</v>
      </c>
    </row>
    <row r="44" spans="1:4">
      <c r="A44" s="24">
        <v>45359</v>
      </c>
      <c r="C44" s="12">
        <v>0.85416666666666663</v>
      </c>
      <c r="D44">
        <v>1230</v>
      </c>
    </row>
    <row r="45" spans="1:4">
      <c r="A45" s="24">
        <v>45373</v>
      </c>
      <c r="C45" s="12">
        <v>0.875</v>
      </c>
      <c r="D45">
        <v>1260</v>
      </c>
    </row>
    <row r="46" spans="1:4">
      <c r="A46" s="24">
        <v>45387</v>
      </c>
      <c r="C46" s="12">
        <v>0.89583333333333337</v>
      </c>
      <c r="D46">
        <v>1290</v>
      </c>
    </row>
    <row r="47" spans="1:4">
      <c r="A47" s="24">
        <v>45401</v>
      </c>
      <c r="C47" s="12">
        <v>0.91666666666666663</v>
      </c>
      <c r="D47">
        <v>1320</v>
      </c>
    </row>
    <row r="48" spans="1:4">
      <c r="A48" s="24">
        <v>45415</v>
      </c>
      <c r="C48" s="12">
        <v>0.9375</v>
      </c>
      <c r="D48">
        <v>1350</v>
      </c>
    </row>
    <row r="49" spans="1:4">
      <c r="A49" s="24">
        <v>45429</v>
      </c>
      <c r="C49" s="12">
        <v>0.95833333333333337</v>
      </c>
      <c r="D49">
        <v>1380</v>
      </c>
    </row>
    <row r="50" spans="1:4">
      <c r="A50" s="24">
        <v>45443</v>
      </c>
      <c r="C50" s="12">
        <v>0.97916666666666663</v>
      </c>
      <c r="D50">
        <v>1410</v>
      </c>
    </row>
    <row r="51" spans="1:4">
      <c r="A51" s="24">
        <v>45457</v>
      </c>
      <c r="C51" s="22" t="s">
        <v>34</v>
      </c>
      <c r="D51">
        <v>1440</v>
      </c>
    </row>
    <row r="52" spans="1:4">
      <c r="A52" s="24">
        <v>45471</v>
      </c>
      <c r="C52" s="22" t="s">
        <v>33</v>
      </c>
      <c r="D52">
        <v>1470</v>
      </c>
    </row>
    <row r="53" spans="1:4">
      <c r="A53" s="24">
        <v>45485</v>
      </c>
      <c r="C53" s="22" t="s">
        <v>35</v>
      </c>
      <c r="D53">
        <v>1500</v>
      </c>
    </row>
    <row r="54" spans="1:4">
      <c r="A54" s="24">
        <v>45499</v>
      </c>
      <c r="C54" s="22" t="s">
        <v>36</v>
      </c>
      <c r="D54">
        <v>1530</v>
      </c>
    </row>
    <row r="55" spans="1:4">
      <c r="A55" s="24">
        <v>45513</v>
      </c>
      <c r="C55" s="22" t="s">
        <v>37</v>
      </c>
      <c r="D55">
        <v>1560</v>
      </c>
    </row>
    <row r="56" spans="1:4">
      <c r="A56" s="24">
        <v>45527</v>
      </c>
      <c r="C56" s="22" t="s">
        <v>38</v>
      </c>
      <c r="D56">
        <v>1590</v>
      </c>
    </row>
    <row r="57" spans="1:4">
      <c r="A57" s="24">
        <v>45541</v>
      </c>
      <c r="C57" s="22" t="s">
        <v>39</v>
      </c>
      <c r="D57">
        <v>1620</v>
      </c>
    </row>
    <row r="58" spans="1:4">
      <c r="A58" s="24">
        <v>45555</v>
      </c>
      <c r="C58" s="22" t="s">
        <v>40</v>
      </c>
      <c r="D58">
        <v>1650</v>
      </c>
    </row>
    <row r="59" spans="1:4">
      <c r="A59" s="24">
        <v>45569</v>
      </c>
      <c r="C59" s="22" t="s">
        <v>41</v>
      </c>
      <c r="D59">
        <v>1680</v>
      </c>
    </row>
    <row r="60" spans="1:4">
      <c r="A60" s="24">
        <v>45583</v>
      </c>
      <c r="C60" s="22" t="s">
        <v>42</v>
      </c>
      <c r="D60">
        <v>1710</v>
      </c>
    </row>
    <row r="61" spans="1:4">
      <c r="A61" s="24">
        <v>45597</v>
      </c>
      <c r="C61" s="22" t="s">
        <v>43</v>
      </c>
      <c r="D61">
        <v>1740</v>
      </c>
    </row>
    <row r="62" spans="1:4">
      <c r="A62" s="24">
        <v>45611</v>
      </c>
      <c r="C62" s="22" t="s">
        <v>44</v>
      </c>
      <c r="D62">
        <v>1770</v>
      </c>
    </row>
    <row r="63" spans="1:4">
      <c r="A63" s="24">
        <v>45625</v>
      </c>
      <c r="C63" s="22" t="s">
        <v>45</v>
      </c>
      <c r="D63">
        <v>1800</v>
      </c>
    </row>
    <row r="64" spans="1:4">
      <c r="A64" s="24">
        <v>45639</v>
      </c>
      <c r="C64" s="22" t="s">
        <v>46</v>
      </c>
      <c r="D64">
        <v>1830</v>
      </c>
    </row>
    <row r="65" spans="1:4">
      <c r="A65" s="24">
        <v>45653</v>
      </c>
      <c r="C65" s="22" t="s">
        <v>47</v>
      </c>
      <c r="D65">
        <v>1860</v>
      </c>
    </row>
    <row r="66" spans="1:4">
      <c r="A66" s="24">
        <v>45667</v>
      </c>
      <c r="C66" s="22" t="s">
        <v>48</v>
      </c>
      <c r="D66">
        <v>1890</v>
      </c>
    </row>
    <row r="67" spans="1:4">
      <c r="A67" s="24">
        <v>45681</v>
      </c>
      <c r="C67" s="22" t="s">
        <v>49</v>
      </c>
      <c r="D67">
        <v>1920</v>
      </c>
    </row>
    <row r="68" spans="1:4">
      <c r="A68" s="24">
        <v>45695</v>
      </c>
      <c r="C68" s="22" t="s">
        <v>50</v>
      </c>
      <c r="D68">
        <v>1950</v>
      </c>
    </row>
    <row r="69" spans="1:4">
      <c r="A69" s="24">
        <v>45709</v>
      </c>
      <c r="C69" s="22" t="s">
        <v>51</v>
      </c>
      <c r="D69">
        <v>1980</v>
      </c>
    </row>
    <row r="70" spans="1:4">
      <c r="A70" s="24">
        <v>45723</v>
      </c>
      <c r="C70" s="22" t="s">
        <v>52</v>
      </c>
      <c r="D70">
        <v>2010</v>
      </c>
    </row>
    <row r="71" spans="1:4">
      <c r="A71" s="24">
        <v>45737</v>
      </c>
      <c r="C71" s="22" t="s">
        <v>53</v>
      </c>
      <c r="D71">
        <v>2040</v>
      </c>
    </row>
    <row r="72" spans="1:4">
      <c r="A72" s="24">
        <v>45751</v>
      </c>
      <c r="C72" s="22" t="s">
        <v>54</v>
      </c>
      <c r="D72">
        <v>2070</v>
      </c>
    </row>
    <row r="73" spans="1:4">
      <c r="A73" s="24">
        <v>45765</v>
      </c>
      <c r="C73" s="22" t="s">
        <v>55</v>
      </c>
      <c r="D73">
        <v>2100</v>
      </c>
    </row>
    <row r="74" spans="1:4">
      <c r="A74" s="24">
        <v>45779</v>
      </c>
      <c r="C74" s="22" t="s">
        <v>56</v>
      </c>
      <c r="D74">
        <v>2130</v>
      </c>
    </row>
    <row r="75" spans="1:4">
      <c r="A75" s="24">
        <v>45793</v>
      </c>
      <c r="C75" s="22" t="s">
        <v>57</v>
      </c>
      <c r="D75">
        <v>2160</v>
      </c>
    </row>
    <row r="76" spans="1:4">
      <c r="A76" s="24">
        <v>45807</v>
      </c>
      <c r="C76" s="22" t="s">
        <v>58</v>
      </c>
      <c r="D76">
        <v>2190</v>
      </c>
    </row>
    <row r="77" spans="1:4">
      <c r="A77" s="24">
        <v>45821</v>
      </c>
      <c r="C77" s="22" t="s">
        <v>59</v>
      </c>
      <c r="D77">
        <v>2220</v>
      </c>
    </row>
    <row r="78" spans="1:4">
      <c r="A78" s="24">
        <v>45835</v>
      </c>
    </row>
    <row r="79" spans="1:4">
      <c r="A79" s="24">
        <v>45849</v>
      </c>
    </row>
    <row r="80" spans="1:4">
      <c r="A80" s="24">
        <v>45863</v>
      </c>
    </row>
    <row r="81" spans="1:1">
      <c r="A81" s="24">
        <v>45877</v>
      </c>
    </row>
    <row r="82" spans="1:1">
      <c r="A82" s="24">
        <v>45891</v>
      </c>
    </row>
    <row r="83" spans="1:1">
      <c r="A83" s="24">
        <v>45905</v>
      </c>
    </row>
    <row r="84" spans="1:1">
      <c r="A84" s="24">
        <v>45919</v>
      </c>
    </row>
    <row r="85" spans="1:1">
      <c r="A85" s="24">
        <v>45933</v>
      </c>
    </row>
    <row r="86" spans="1:1">
      <c r="A86" s="24">
        <v>45947</v>
      </c>
    </row>
    <row r="87" spans="1:1">
      <c r="A87" s="24">
        <v>45961</v>
      </c>
    </row>
    <row r="88" spans="1:1">
      <c r="A88" s="24">
        <v>45975</v>
      </c>
    </row>
    <row r="89" spans="1:1">
      <c r="A89" s="24">
        <v>45989</v>
      </c>
    </row>
    <row r="90" spans="1:1">
      <c r="A90" s="24">
        <v>46003</v>
      </c>
    </row>
    <row r="91" spans="1:1">
      <c r="A91" s="24">
        <v>46017</v>
      </c>
    </row>
    <row r="92" spans="1:1">
      <c r="A92" s="24">
        <v>46031</v>
      </c>
    </row>
    <row r="93" spans="1:1">
      <c r="A93" s="24">
        <v>46045</v>
      </c>
    </row>
    <row r="94" spans="1:1">
      <c r="A94" s="24">
        <v>46059</v>
      </c>
    </row>
    <row r="95" spans="1:1">
      <c r="A95" s="24">
        <v>46073</v>
      </c>
    </row>
    <row r="96" spans="1:1">
      <c r="A96" s="24">
        <v>46087</v>
      </c>
    </row>
    <row r="97" spans="1:1">
      <c r="A97" s="24">
        <v>46101</v>
      </c>
    </row>
    <row r="98" spans="1:1">
      <c r="A98" s="24">
        <v>46115</v>
      </c>
    </row>
    <row r="99" spans="1:1">
      <c r="A99" s="24">
        <v>46129</v>
      </c>
    </row>
    <row r="100" spans="1:1">
      <c r="A100" s="24">
        <v>46143</v>
      </c>
    </row>
    <row r="101" spans="1:1">
      <c r="A101" s="24">
        <v>46157</v>
      </c>
    </row>
    <row r="102" spans="1:1">
      <c r="A102" s="24">
        <v>46171</v>
      </c>
    </row>
    <row r="103" spans="1:1">
      <c r="A103" s="24">
        <v>46185</v>
      </c>
    </row>
    <row r="104" spans="1:1">
      <c r="A104" s="24">
        <v>46199</v>
      </c>
    </row>
    <row r="105" spans="1:1">
      <c r="A105" s="24">
        <v>46213</v>
      </c>
    </row>
    <row r="106" spans="1:1">
      <c r="A106" s="24">
        <v>46227</v>
      </c>
    </row>
    <row r="107" spans="1:1">
      <c r="A107" s="24">
        <v>46241</v>
      </c>
    </row>
    <row r="108" spans="1:1">
      <c r="A108" s="24">
        <v>46255</v>
      </c>
    </row>
    <row r="109" spans="1:1">
      <c r="A109" s="24">
        <v>46269</v>
      </c>
    </row>
    <row r="110" spans="1:1">
      <c r="A110" s="24">
        <v>46283</v>
      </c>
    </row>
    <row r="111" spans="1:1">
      <c r="A111" s="24">
        <v>46297</v>
      </c>
    </row>
    <row r="112" spans="1:1">
      <c r="A112" s="24">
        <v>46311</v>
      </c>
    </row>
    <row r="113" spans="1:1">
      <c r="A113" s="24">
        <v>46325</v>
      </c>
    </row>
    <row r="114" spans="1:1">
      <c r="A114" s="24">
        <v>46339</v>
      </c>
    </row>
    <row r="115" spans="1:1">
      <c r="A115" s="24">
        <v>46353</v>
      </c>
    </row>
    <row r="116" spans="1:1">
      <c r="A116" s="24">
        <v>46367</v>
      </c>
    </row>
    <row r="117" spans="1:1">
      <c r="A117" s="24">
        <v>46381</v>
      </c>
    </row>
    <row r="118" spans="1:1">
      <c r="A118" s="24">
        <v>46395</v>
      </c>
    </row>
    <row r="119" spans="1:1">
      <c r="A119" s="24">
        <v>46409</v>
      </c>
    </row>
    <row r="120" spans="1:1">
      <c r="A120" s="24">
        <v>46423</v>
      </c>
    </row>
    <row r="121" spans="1:1">
      <c r="A121" s="24">
        <v>46437</v>
      </c>
    </row>
    <row r="122" spans="1:1">
      <c r="A122" s="24">
        <v>46451</v>
      </c>
    </row>
    <row r="123" spans="1:1">
      <c r="A123" s="24">
        <v>46465</v>
      </c>
    </row>
    <row r="124" spans="1:1">
      <c r="A124" s="24">
        <v>46479</v>
      </c>
    </row>
    <row r="125" spans="1:1">
      <c r="A125" s="24">
        <v>46493</v>
      </c>
    </row>
    <row r="126" spans="1:1">
      <c r="A126" s="24">
        <v>46507</v>
      </c>
    </row>
    <row r="127" spans="1:1">
      <c r="A127" s="24">
        <v>46521</v>
      </c>
    </row>
    <row r="128" spans="1:1">
      <c r="A128" s="24">
        <v>46535</v>
      </c>
    </row>
    <row r="129" spans="1:1">
      <c r="A129" s="24">
        <v>46549</v>
      </c>
    </row>
    <row r="130" spans="1:1">
      <c r="A130" s="24">
        <v>46563</v>
      </c>
    </row>
    <row r="131" spans="1:1">
      <c r="A131" s="24">
        <v>46577</v>
      </c>
    </row>
    <row r="132" spans="1:1">
      <c r="A132" s="24">
        <v>46591</v>
      </c>
    </row>
    <row r="133" spans="1:1">
      <c r="A133" s="24">
        <v>46605</v>
      </c>
    </row>
    <row r="134" spans="1:1">
      <c r="A134" s="24">
        <v>46619</v>
      </c>
    </row>
    <row r="135" spans="1:1">
      <c r="A135" s="24">
        <v>46633</v>
      </c>
    </row>
    <row r="136" spans="1:1">
      <c r="A136" s="24">
        <v>46647</v>
      </c>
    </row>
    <row r="137" spans="1:1">
      <c r="A137" s="24">
        <v>46661</v>
      </c>
    </row>
    <row r="138" spans="1:1">
      <c r="A138" s="24">
        <v>46675</v>
      </c>
    </row>
    <row r="139" spans="1:1">
      <c r="A139" s="24">
        <v>46689</v>
      </c>
    </row>
    <row r="140" spans="1:1">
      <c r="A140" s="24">
        <v>46703</v>
      </c>
    </row>
    <row r="141" spans="1:1">
      <c r="A141" s="24">
        <v>46717</v>
      </c>
    </row>
    <row r="142" spans="1:1">
      <c r="A142" s="24">
        <v>46731</v>
      </c>
    </row>
    <row r="143" spans="1:1">
      <c r="A143" s="24">
        <v>46745</v>
      </c>
    </row>
    <row r="144" spans="1:1">
      <c r="A144" s="24">
        <v>46759</v>
      </c>
    </row>
    <row r="145" spans="1:1">
      <c r="A145" s="24">
        <v>46773</v>
      </c>
    </row>
    <row r="146" spans="1:1">
      <c r="A146" s="24">
        <v>46787</v>
      </c>
    </row>
    <row r="147" spans="1:1">
      <c r="A147" s="24">
        <v>46801</v>
      </c>
    </row>
    <row r="148" spans="1:1">
      <c r="A148" s="24">
        <v>46815</v>
      </c>
    </row>
    <row r="149" spans="1:1">
      <c r="A149" s="24">
        <v>46829</v>
      </c>
    </row>
    <row r="150" spans="1:1">
      <c r="A150" s="24">
        <v>46843</v>
      </c>
    </row>
    <row r="151" spans="1:1">
      <c r="A151" s="24">
        <v>46857</v>
      </c>
    </row>
    <row r="152" spans="1:1">
      <c r="A152" s="24">
        <v>46871</v>
      </c>
    </row>
    <row r="153" spans="1:1">
      <c r="A153" s="24">
        <v>46885</v>
      </c>
    </row>
    <row r="154" spans="1:1">
      <c r="A154" s="24">
        <v>46899</v>
      </c>
    </row>
    <row r="155" spans="1:1">
      <c r="A155" s="24">
        <v>46913</v>
      </c>
    </row>
    <row r="156" spans="1:1">
      <c r="A156" s="24">
        <v>46927</v>
      </c>
    </row>
    <row r="157" spans="1:1">
      <c r="A157" s="24">
        <v>46941</v>
      </c>
    </row>
    <row r="158" spans="1:1">
      <c r="A158" s="24">
        <v>46955</v>
      </c>
    </row>
    <row r="159" spans="1:1">
      <c r="A159" s="24">
        <v>46969</v>
      </c>
    </row>
    <row r="160" spans="1:1">
      <c r="A160" s="24">
        <v>46983</v>
      </c>
    </row>
    <row r="161" spans="1:1">
      <c r="A161" s="24">
        <v>46997</v>
      </c>
    </row>
    <row r="162" spans="1:1">
      <c r="A162" s="24">
        <v>47011</v>
      </c>
    </row>
    <row r="163" spans="1:1">
      <c r="A163" s="24">
        <v>47025</v>
      </c>
    </row>
    <row r="164" spans="1:1">
      <c r="A164" s="24">
        <v>47039</v>
      </c>
    </row>
    <row r="165" spans="1:1">
      <c r="A165" s="24">
        <v>47053</v>
      </c>
    </row>
    <row r="166" spans="1:1">
      <c r="A166" s="24">
        <v>47067</v>
      </c>
    </row>
    <row r="167" spans="1:1">
      <c r="A167" s="24">
        <v>47081</v>
      </c>
    </row>
    <row r="168" spans="1:1">
      <c r="A168" s="24">
        <v>47095</v>
      </c>
    </row>
    <row r="169" spans="1:1">
      <c r="A169" s="24">
        <v>47109</v>
      </c>
    </row>
    <row r="170" spans="1:1">
      <c r="A170" s="24">
        <v>47123</v>
      </c>
    </row>
    <row r="171" spans="1:1">
      <c r="A171" s="24">
        <v>47137</v>
      </c>
    </row>
    <row r="172" spans="1:1">
      <c r="A172" s="24">
        <v>47151</v>
      </c>
    </row>
    <row r="173" spans="1:1">
      <c r="A173" s="24">
        <v>47165</v>
      </c>
    </row>
    <row r="174" spans="1:1">
      <c r="A174" s="24">
        <v>47179</v>
      </c>
    </row>
    <row r="175" spans="1:1">
      <c r="A175" s="24">
        <v>47193</v>
      </c>
    </row>
    <row r="176" spans="1:1">
      <c r="A176" s="24">
        <v>47207</v>
      </c>
    </row>
    <row r="177" spans="1:1">
      <c r="A177" s="24">
        <v>47221</v>
      </c>
    </row>
    <row r="178" spans="1:1">
      <c r="A178" s="24">
        <v>47235</v>
      </c>
    </row>
    <row r="179" spans="1:1">
      <c r="A179" s="24">
        <v>47249</v>
      </c>
    </row>
    <row r="180" spans="1:1">
      <c r="A180" s="24">
        <v>47263</v>
      </c>
    </row>
    <row r="181" spans="1:1">
      <c r="A181" s="24">
        <v>47277</v>
      </c>
    </row>
    <row r="182" spans="1:1">
      <c r="A182" s="24">
        <v>47291</v>
      </c>
    </row>
    <row r="183" spans="1:1">
      <c r="A183" s="24">
        <v>47305</v>
      </c>
    </row>
    <row r="184" spans="1:1">
      <c r="A184" s="24">
        <v>47319</v>
      </c>
    </row>
    <row r="185" spans="1:1">
      <c r="A185" s="24">
        <v>47333</v>
      </c>
    </row>
    <row r="186" spans="1:1">
      <c r="A186" s="24">
        <v>47347</v>
      </c>
    </row>
    <row r="187" spans="1:1">
      <c r="A187" s="24">
        <v>47361</v>
      </c>
    </row>
    <row r="188" spans="1:1">
      <c r="A188" s="24">
        <v>47375</v>
      </c>
    </row>
    <row r="189" spans="1:1">
      <c r="A189" s="24">
        <v>47389</v>
      </c>
    </row>
    <row r="190" spans="1:1">
      <c r="A190" s="24">
        <v>47403</v>
      </c>
    </row>
    <row r="191" spans="1:1">
      <c r="A191" s="24">
        <v>47417</v>
      </c>
    </row>
    <row r="192" spans="1:1">
      <c r="A192" s="24">
        <v>47431</v>
      </c>
    </row>
    <row r="193" spans="1:1">
      <c r="A193" s="24">
        <v>47445</v>
      </c>
    </row>
    <row r="194" spans="1:1">
      <c r="A194" s="24">
        <v>47459</v>
      </c>
    </row>
    <row r="195" spans="1:1">
      <c r="A195" s="24">
        <v>47473</v>
      </c>
    </row>
    <row r="196" spans="1:1">
      <c r="A196" s="24">
        <v>47487</v>
      </c>
    </row>
    <row r="197" spans="1:1">
      <c r="A197" s="24">
        <v>47501</v>
      </c>
    </row>
    <row r="198" spans="1:1">
      <c r="A198" s="24">
        <v>47515</v>
      </c>
    </row>
    <row r="199" spans="1:1">
      <c r="A199" s="24">
        <v>47529</v>
      </c>
    </row>
    <row r="200" spans="1:1">
      <c r="A200" s="24">
        <v>47543</v>
      </c>
    </row>
    <row r="201" spans="1:1">
      <c r="A201" s="24">
        <v>47557</v>
      </c>
    </row>
    <row r="202" spans="1:1">
      <c r="A202" s="24">
        <v>47571</v>
      </c>
    </row>
    <row r="203" spans="1:1">
      <c r="A203" s="24">
        <v>47585</v>
      </c>
    </row>
    <row r="204" spans="1:1">
      <c r="A204" s="24">
        <v>47599</v>
      </c>
    </row>
    <row r="205" spans="1:1">
      <c r="A205" s="24">
        <v>47613</v>
      </c>
    </row>
    <row r="206" spans="1:1">
      <c r="A206" s="24">
        <v>47627</v>
      </c>
    </row>
    <row r="207" spans="1:1">
      <c r="A207" s="24">
        <v>47641</v>
      </c>
    </row>
    <row r="208" spans="1:1">
      <c r="A208" s="24">
        <v>47655</v>
      </c>
    </row>
    <row r="209" spans="1:1">
      <c r="A209" s="24">
        <v>47669</v>
      </c>
    </row>
    <row r="210" spans="1:1">
      <c r="A210" s="24">
        <v>47683</v>
      </c>
    </row>
    <row r="211" spans="1:1">
      <c r="A211" s="24">
        <v>47697</v>
      </c>
    </row>
    <row r="212" spans="1:1">
      <c r="A212" s="24">
        <v>47711</v>
      </c>
    </row>
    <row r="213" spans="1:1">
      <c r="A213" s="24">
        <v>47725</v>
      </c>
    </row>
    <row r="214" spans="1:1">
      <c r="A214" s="24">
        <v>47739</v>
      </c>
    </row>
    <row r="215" spans="1:1">
      <c r="A215" s="24">
        <v>47753</v>
      </c>
    </row>
    <row r="216" spans="1:1">
      <c r="A216" s="24">
        <v>47767</v>
      </c>
    </row>
    <row r="217" spans="1:1">
      <c r="A217" s="24">
        <v>47781</v>
      </c>
    </row>
    <row r="218" spans="1:1">
      <c r="A218" s="24">
        <v>47795</v>
      </c>
    </row>
    <row r="219" spans="1:1">
      <c r="A219" s="24">
        <v>47809</v>
      </c>
    </row>
    <row r="220" spans="1:1">
      <c r="A220" s="24">
        <v>47823</v>
      </c>
    </row>
    <row r="221" spans="1:1">
      <c r="A221" s="24">
        <v>47837</v>
      </c>
    </row>
    <row r="222" spans="1:1">
      <c r="A222" s="24">
        <v>47851</v>
      </c>
    </row>
    <row r="223" spans="1:1">
      <c r="A223" s="24">
        <v>47865</v>
      </c>
    </row>
    <row r="224" spans="1:1">
      <c r="A224" s="24">
        <v>47879</v>
      </c>
    </row>
    <row r="225" spans="1:1">
      <c r="A225" s="24">
        <v>47893</v>
      </c>
    </row>
    <row r="226" spans="1:1">
      <c r="A226" s="24">
        <v>47907</v>
      </c>
    </row>
    <row r="227" spans="1:1">
      <c r="A227" s="24">
        <v>47921</v>
      </c>
    </row>
    <row r="228" spans="1:1">
      <c r="A228" s="24">
        <v>47935</v>
      </c>
    </row>
    <row r="229" spans="1:1">
      <c r="A229" s="24">
        <v>47949</v>
      </c>
    </row>
    <row r="230" spans="1:1">
      <c r="A230" s="24">
        <v>47963</v>
      </c>
    </row>
    <row r="231" spans="1:1">
      <c r="A231" s="24">
        <v>47977</v>
      </c>
    </row>
    <row r="232" spans="1:1">
      <c r="A232" s="24">
        <v>47991</v>
      </c>
    </row>
    <row r="233" spans="1:1">
      <c r="A233" s="24">
        <v>48005</v>
      </c>
    </row>
    <row r="234" spans="1:1">
      <c r="A234" s="24">
        <v>48019</v>
      </c>
    </row>
    <row r="235" spans="1:1">
      <c r="A235" s="24">
        <v>48033</v>
      </c>
    </row>
    <row r="236" spans="1:1">
      <c r="A236" s="24">
        <v>48047</v>
      </c>
    </row>
    <row r="237" spans="1:1">
      <c r="A237" s="24">
        <v>48061</v>
      </c>
    </row>
    <row r="238" spans="1:1">
      <c r="A238" s="24">
        <v>48075</v>
      </c>
    </row>
    <row r="239" spans="1:1">
      <c r="A239" s="24">
        <v>48089</v>
      </c>
    </row>
    <row r="240" spans="1:1">
      <c r="A240" s="24">
        <v>48103</v>
      </c>
    </row>
    <row r="241" spans="1:1">
      <c r="A241" s="24">
        <v>48117</v>
      </c>
    </row>
    <row r="242" spans="1:1">
      <c r="A242" s="24">
        <v>48131</v>
      </c>
    </row>
    <row r="243" spans="1:1">
      <c r="A243" s="24">
        <v>48145</v>
      </c>
    </row>
    <row r="244" spans="1:1">
      <c r="A244" s="24">
        <v>48159</v>
      </c>
    </row>
    <row r="245" spans="1:1">
      <c r="A245" s="24">
        <v>48173</v>
      </c>
    </row>
    <row r="246" spans="1:1">
      <c r="A246" s="24">
        <v>48187</v>
      </c>
    </row>
    <row r="247" spans="1:1">
      <c r="A247" s="24">
        <v>48201</v>
      </c>
    </row>
    <row r="248" spans="1:1">
      <c r="A248" s="24">
        <v>48215</v>
      </c>
    </row>
    <row r="249" spans="1:1">
      <c r="A249" s="24">
        <v>48229</v>
      </c>
    </row>
    <row r="250" spans="1:1">
      <c r="A250" s="24">
        <v>48243</v>
      </c>
    </row>
    <row r="251" spans="1:1">
      <c r="A251" s="24">
        <v>48257</v>
      </c>
    </row>
    <row r="252" spans="1:1">
      <c r="A252" s="24">
        <v>48271</v>
      </c>
    </row>
    <row r="253" spans="1:1">
      <c r="A253" s="24">
        <v>48285</v>
      </c>
    </row>
    <row r="254" spans="1:1">
      <c r="A254" s="24">
        <v>48299</v>
      </c>
    </row>
    <row r="255" spans="1:1">
      <c r="A255" s="24">
        <v>48313</v>
      </c>
    </row>
    <row r="256" spans="1:1">
      <c r="A256" s="24">
        <v>48327</v>
      </c>
    </row>
    <row r="257" spans="1:1">
      <c r="A257" s="24">
        <v>48341</v>
      </c>
    </row>
    <row r="258" spans="1:1">
      <c r="A258" s="24">
        <v>48355</v>
      </c>
    </row>
    <row r="259" spans="1:1">
      <c r="A259" s="24">
        <v>48369</v>
      </c>
    </row>
    <row r="260" spans="1:1">
      <c r="A260" s="24">
        <v>48383</v>
      </c>
    </row>
    <row r="261" spans="1:1">
      <c r="A261" s="24">
        <v>48397</v>
      </c>
    </row>
    <row r="262" spans="1:1">
      <c r="A262" s="24">
        <v>48411</v>
      </c>
    </row>
    <row r="263" spans="1:1">
      <c r="A263" s="24">
        <v>48425</v>
      </c>
    </row>
    <row r="264" spans="1:1">
      <c r="A264" s="24">
        <v>48439</v>
      </c>
    </row>
    <row r="265" spans="1:1">
      <c r="A265" s="24">
        <v>48453</v>
      </c>
    </row>
    <row r="266" spans="1:1">
      <c r="A266" s="24">
        <v>48467</v>
      </c>
    </row>
    <row r="267" spans="1:1">
      <c r="A267" s="24">
        <v>48481</v>
      </c>
    </row>
    <row r="268" spans="1:1">
      <c r="A268" s="24">
        <v>48495</v>
      </c>
    </row>
    <row r="269" spans="1:1">
      <c r="A269" s="24">
        <v>48509</v>
      </c>
    </row>
    <row r="270" spans="1:1">
      <c r="A270" s="24">
        <v>48523</v>
      </c>
    </row>
    <row r="271" spans="1:1">
      <c r="A271" s="24">
        <v>48537</v>
      </c>
    </row>
    <row r="272" spans="1:1">
      <c r="A272" s="24">
        <v>48551</v>
      </c>
    </row>
    <row r="273" spans="1:1">
      <c r="A273" s="24">
        <v>48565</v>
      </c>
    </row>
    <row r="274" spans="1:1">
      <c r="A274" s="24">
        <v>48579</v>
      </c>
    </row>
    <row r="275" spans="1:1">
      <c r="A275" s="24">
        <v>48593</v>
      </c>
    </row>
    <row r="276" spans="1:1">
      <c r="A276" s="24">
        <v>48607</v>
      </c>
    </row>
    <row r="277" spans="1:1">
      <c r="A277" s="24">
        <v>48621</v>
      </c>
    </row>
    <row r="278" spans="1:1">
      <c r="A278" s="24">
        <v>48635</v>
      </c>
    </row>
    <row r="279" spans="1:1">
      <c r="A279" s="24">
        <v>48649</v>
      </c>
    </row>
    <row r="280" spans="1:1">
      <c r="A280" s="24">
        <v>48663</v>
      </c>
    </row>
    <row r="281" spans="1:1">
      <c r="A281" s="24">
        <v>48677</v>
      </c>
    </row>
    <row r="282" spans="1:1">
      <c r="A282" s="24">
        <v>48691</v>
      </c>
    </row>
    <row r="283" spans="1:1">
      <c r="A283" s="24">
        <v>48705</v>
      </c>
    </row>
    <row r="284" spans="1:1">
      <c r="A284" s="24">
        <v>48719</v>
      </c>
    </row>
    <row r="285" spans="1:1">
      <c r="A285" s="24">
        <v>48733</v>
      </c>
    </row>
    <row r="286" spans="1:1">
      <c r="A286" s="24">
        <v>48747</v>
      </c>
    </row>
    <row r="287" spans="1:1">
      <c r="A287" s="24">
        <v>48761</v>
      </c>
    </row>
    <row r="288" spans="1:1">
      <c r="A288" s="24">
        <v>48775</v>
      </c>
    </row>
    <row r="289" spans="1:1">
      <c r="A289" s="24">
        <v>48789</v>
      </c>
    </row>
    <row r="290" spans="1:1">
      <c r="A290" s="24">
        <v>48803</v>
      </c>
    </row>
    <row r="291" spans="1:1">
      <c r="A291" s="24">
        <v>48817</v>
      </c>
    </row>
    <row r="292" spans="1:1">
      <c r="A292" s="24">
        <v>48831</v>
      </c>
    </row>
    <row r="293" spans="1:1">
      <c r="A293" s="24">
        <v>48845</v>
      </c>
    </row>
    <row r="294" spans="1:1">
      <c r="A294" s="24">
        <v>48859</v>
      </c>
    </row>
    <row r="295" spans="1:1">
      <c r="A295" s="24">
        <v>48873</v>
      </c>
    </row>
    <row r="296" spans="1:1">
      <c r="A296" s="24">
        <v>48887</v>
      </c>
    </row>
    <row r="297" spans="1:1">
      <c r="A297" s="24">
        <v>48901</v>
      </c>
    </row>
    <row r="298" spans="1:1">
      <c r="A298" s="24">
        <v>48915</v>
      </c>
    </row>
    <row r="299" spans="1:1">
      <c r="A299" s="24">
        <v>48929</v>
      </c>
    </row>
    <row r="300" spans="1:1">
      <c r="A300" s="24">
        <v>48943</v>
      </c>
    </row>
    <row r="301" spans="1:1">
      <c r="A301" s="24">
        <v>48957</v>
      </c>
    </row>
    <row r="302" spans="1:1">
      <c r="A302" s="24">
        <v>48971</v>
      </c>
    </row>
    <row r="303" spans="1:1">
      <c r="A303" s="24">
        <v>48985</v>
      </c>
    </row>
    <row r="304" spans="1:1">
      <c r="A304" s="24">
        <v>48999</v>
      </c>
    </row>
    <row r="305" spans="1:1">
      <c r="A305" s="24">
        <v>49013</v>
      </c>
    </row>
    <row r="306" spans="1:1">
      <c r="A306" s="24">
        <v>49027</v>
      </c>
    </row>
    <row r="307" spans="1:1">
      <c r="A307" s="24">
        <v>49041</v>
      </c>
    </row>
    <row r="308" spans="1:1">
      <c r="A308" s="24">
        <v>49055</v>
      </c>
    </row>
    <row r="309" spans="1:1">
      <c r="A309" s="24">
        <v>49069</v>
      </c>
    </row>
    <row r="310" spans="1:1">
      <c r="A310" s="24">
        <v>49083</v>
      </c>
    </row>
    <row r="311" spans="1:1">
      <c r="A311" s="24">
        <v>49097</v>
      </c>
    </row>
    <row r="312" spans="1:1">
      <c r="A312" s="24">
        <v>49111</v>
      </c>
    </row>
    <row r="313" spans="1:1">
      <c r="A313" s="24">
        <v>49125</v>
      </c>
    </row>
    <row r="314" spans="1:1">
      <c r="A314" s="24">
        <v>49139</v>
      </c>
    </row>
    <row r="315" spans="1:1">
      <c r="A315" s="24">
        <v>49153</v>
      </c>
    </row>
    <row r="316" spans="1:1">
      <c r="A316" s="24">
        <v>49167</v>
      </c>
    </row>
    <row r="317" spans="1:1">
      <c r="A317" s="24">
        <v>49181</v>
      </c>
    </row>
    <row r="318" spans="1:1">
      <c r="A318" s="24">
        <v>49195</v>
      </c>
    </row>
    <row r="319" spans="1:1">
      <c r="A319" s="24">
        <v>49209</v>
      </c>
    </row>
    <row r="320" spans="1:1">
      <c r="A320" s="24">
        <v>49223</v>
      </c>
    </row>
    <row r="321" spans="1:1">
      <c r="A321" s="24">
        <v>49237</v>
      </c>
    </row>
    <row r="322" spans="1:1">
      <c r="A322" s="24">
        <v>49251</v>
      </c>
    </row>
    <row r="323" spans="1:1">
      <c r="A323" s="24">
        <v>49265</v>
      </c>
    </row>
    <row r="324" spans="1:1">
      <c r="A324" s="24">
        <v>49279</v>
      </c>
    </row>
    <row r="325" spans="1:1">
      <c r="A325" s="24">
        <v>49293</v>
      </c>
    </row>
    <row r="326" spans="1:1">
      <c r="A326" s="24">
        <v>49307</v>
      </c>
    </row>
    <row r="327" spans="1:1">
      <c r="A327" s="24">
        <v>49321</v>
      </c>
    </row>
    <row r="328" spans="1:1">
      <c r="A328" s="24">
        <v>49335</v>
      </c>
    </row>
    <row r="329" spans="1:1">
      <c r="A329" s="24">
        <v>49349</v>
      </c>
    </row>
    <row r="330" spans="1:1">
      <c r="A330" s="24">
        <v>49363</v>
      </c>
    </row>
    <row r="331" spans="1:1">
      <c r="A331" s="24">
        <v>49377</v>
      </c>
    </row>
    <row r="332" spans="1:1">
      <c r="A332" s="24">
        <v>49391</v>
      </c>
    </row>
    <row r="333" spans="1:1">
      <c r="A333" s="24">
        <v>49405</v>
      </c>
    </row>
    <row r="334" spans="1:1">
      <c r="A334" s="24">
        <v>49419</v>
      </c>
    </row>
    <row r="335" spans="1:1">
      <c r="A335" s="24">
        <v>49433</v>
      </c>
    </row>
    <row r="336" spans="1:1">
      <c r="A336" s="24">
        <v>49447</v>
      </c>
    </row>
    <row r="337" spans="1:1">
      <c r="A337" s="24">
        <v>49461</v>
      </c>
    </row>
    <row r="338" spans="1:1">
      <c r="A338" s="24">
        <v>49475</v>
      </c>
    </row>
    <row r="339" spans="1:1">
      <c r="A339" s="24">
        <v>49489</v>
      </c>
    </row>
    <row r="340" spans="1:1">
      <c r="A340" s="24">
        <v>49503</v>
      </c>
    </row>
    <row r="341" spans="1:1">
      <c r="A341" s="24">
        <v>49517</v>
      </c>
    </row>
    <row r="342" spans="1:1">
      <c r="A342" s="24">
        <v>49531</v>
      </c>
    </row>
    <row r="343" spans="1:1">
      <c r="A343" s="24">
        <v>49545</v>
      </c>
    </row>
    <row r="344" spans="1:1">
      <c r="A344" s="24">
        <v>49559</v>
      </c>
    </row>
    <row r="345" spans="1:1">
      <c r="A345" s="24">
        <v>49573</v>
      </c>
    </row>
    <row r="346" spans="1:1">
      <c r="A346" s="24">
        <v>49587</v>
      </c>
    </row>
    <row r="347" spans="1:1">
      <c r="A347" s="24">
        <v>49601</v>
      </c>
    </row>
    <row r="348" spans="1:1">
      <c r="A348" s="24">
        <v>49615</v>
      </c>
    </row>
    <row r="349" spans="1:1">
      <c r="A349" s="24">
        <v>49629</v>
      </c>
    </row>
    <row r="350" spans="1:1">
      <c r="A350" s="24">
        <v>49643</v>
      </c>
    </row>
    <row r="351" spans="1:1">
      <c r="A351" s="24">
        <v>49657</v>
      </c>
    </row>
    <row r="352" spans="1:1">
      <c r="A352" s="24">
        <v>49671</v>
      </c>
    </row>
    <row r="353" spans="1:1">
      <c r="A353" s="2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11" sqref="A11"/>
    </sheetView>
  </sheetViews>
  <sheetFormatPr defaultRowHeight="14.5"/>
  <cols>
    <col min="1" max="1" width="13" style="14" customWidth="1"/>
    <col min="2" max="2" width="24.26953125" style="9" customWidth="1"/>
  </cols>
  <sheetData>
    <row r="1" spans="1:2">
      <c r="A1" s="14" t="s">
        <v>11</v>
      </c>
      <c r="B1" s="9" t="s">
        <v>14</v>
      </c>
    </row>
    <row r="2" spans="1:2">
      <c r="A2" s="14">
        <v>46023</v>
      </c>
      <c r="B2" s="9" t="s">
        <v>16</v>
      </c>
    </row>
    <row r="3" spans="1:2">
      <c r="A3" s="14">
        <v>46024</v>
      </c>
      <c r="B3" s="9" t="s">
        <v>63</v>
      </c>
    </row>
    <row r="4" spans="1:2">
      <c r="A4" s="14">
        <v>46069</v>
      </c>
      <c r="B4" s="9" t="s">
        <v>64</v>
      </c>
    </row>
    <row r="5" spans="1:2">
      <c r="A5" s="14">
        <v>46167</v>
      </c>
      <c r="B5" s="9" t="s">
        <v>17</v>
      </c>
    </row>
    <row r="6" spans="1:2">
      <c r="A6" s="14">
        <v>46206</v>
      </c>
      <c r="B6" s="9" t="s">
        <v>65</v>
      </c>
    </row>
    <row r="7" spans="1:2">
      <c r="A7" s="14">
        <v>46272</v>
      </c>
      <c r="B7" s="9" t="s">
        <v>18</v>
      </c>
    </row>
    <row r="8" spans="1:2">
      <c r="A8" s="14">
        <v>46352</v>
      </c>
      <c r="B8" s="9" t="s">
        <v>19</v>
      </c>
    </row>
    <row r="9" spans="1:2">
      <c r="A9" s="14">
        <v>46353</v>
      </c>
      <c r="B9" s="9" t="s">
        <v>63</v>
      </c>
    </row>
    <row r="10" spans="1:2">
      <c r="A10" s="14">
        <v>46381</v>
      </c>
      <c r="B10" s="9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F959-9E4B-47F1-9FA7-6C32A5CA7B58}">
  <dimension ref="A1:AC32"/>
  <sheetViews>
    <sheetView tabSelected="1" view="pageLayout" zoomScale="145" zoomScalePageLayoutView="145" workbookViewId="0">
      <selection activeCell="W28" sqref="W28"/>
    </sheetView>
  </sheetViews>
  <sheetFormatPr defaultColWidth="9" defaultRowHeight="14"/>
  <cols>
    <col min="1" max="29" width="3.26953125" style="1" customWidth="1"/>
    <col min="30" max="16384" width="9" style="1"/>
  </cols>
  <sheetData>
    <row r="1" spans="1:29" ht="20">
      <c r="A1" s="62" t="s">
        <v>28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8.25" customHeight="1"/>
    <row r="3" spans="1:29" ht="20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spans="1:29" ht="17.25" customHeight="1"/>
    <row r="5" spans="1:29" s="6" customFormat="1" ht="15.5">
      <c r="C5" s="1" t="s">
        <v>61</v>
      </c>
    </row>
    <row r="6" spans="1:29" s="6" customFormat="1" ht="17.25" customHeight="1">
      <c r="C6" s="1" t="s">
        <v>1</v>
      </c>
    </row>
    <row r="7" spans="1:29" ht="19.5" customHeight="1"/>
    <row r="8" spans="1:29" s="2" customFormat="1" ht="18" customHeight="1">
      <c r="E8" s="7" t="s">
        <v>3</v>
      </c>
      <c r="I8" s="18"/>
      <c r="J8" s="18"/>
      <c r="K8" s="18"/>
      <c r="L8" s="18"/>
      <c r="M8" s="18"/>
      <c r="N8" s="18"/>
      <c r="O8" s="18"/>
    </row>
    <row r="9" spans="1:29" s="2" customFormat="1" ht="8.25" customHeight="1">
      <c r="E9" s="7"/>
      <c r="H9" s="8"/>
      <c r="I9" s="8"/>
      <c r="J9" s="8"/>
      <c r="K9" s="8"/>
      <c r="L9" s="8"/>
      <c r="M9" s="8"/>
      <c r="N9" s="8"/>
      <c r="O9" s="8"/>
    </row>
    <row r="10" spans="1:29" s="2" customFormat="1" ht="15" customHeight="1">
      <c r="E10" s="7" t="s">
        <v>2</v>
      </c>
      <c r="I10" s="63" cm="1">
        <f t="array" aca="1" ref="I10" ca="1">INDEX(Payrolls[Payroll Date],MATCH(TODAY(),Payrolls[Payroll Date],1)+1)</f>
        <v>46297</v>
      </c>
      <c r="J10" s="64"/>
      <c r="K10" s="64"/>
      <c r="L10" s="64"/>
      <c r="N10" s="26"/>
      <c r="O10" s="26"/>
      <c r="P10" s="26"/>
      <c r="Q10" s="26"/>
      <c r="R10" s="28"/>
      <c r="S10" s="27"/>
      <c r="T10" s="27"/>
      <c r="U10" s="27"/>
    </row>
    <row r="11" spans="1:29" ht="15" customHeight="1">
      <c r="I11" s="25"/>
      <c r="V11" s="3"/>
      <c r="W11" s="3"/>
      <c r="X11" s="3"/>
      <c r="Y11" s="3"/>
      <c r="Z11" s="3"/>
      <c r="AA11" s="3"/>
      <c r="AB11" s="3"/>
      <c r="AC11" s="3"/>
    </row>
    <row r="12" spans="1:29" s="2" customFormat="1" ht="17.25" customHeight="1">
      <c r="A12" s="58">
        <f ca="1">_xlfn.ISOWEEKNUM(I10-14)</f>
        <v>38</v>
      </c>
      <c r="B12" s="59" t="s">
        <v>4</v>
      </c>
      <c r="C12" s="59"/>
      <c r="D12" s="59"/>
      <c r="E12" s="59"/>
      <c r="F12" s="59" t="s">
        <v>5</v>
      </c>
      <c r="G12" s="59"/>
      <c r="H12" s="59"/>
      <c r="I12" s="59"/>
      <c r="J12" s="59" t="s">
        <v>6</v>
      </c>
      <c r="K12" s="59"/>
      <c r="L12" s="59"/>
      <c r="M12" s="59"/>
      <c r="N12" s="59" t="s">
        <v>7</v>
      </c>
      <c r="O12" s="59"/>
      <c r="P12" s="59"/>
      <c r="Q12" s="59"/>
      <c r="R12" s="59" t="s">
        <v>8</v>
      </c>
      <c r="S12" s="59"/>
      <c r="T12" s="59"/>
      <c r="U12" s="59"/>
      <c r="V12" s="60" t="s">
        <v>32</v>
      </c>
      <c r="W12" s="60"/>
      <c r="X12" s="60"/>
      <c r="Y12" s="60"/>
      <c r="Z12" s="60" t="s">
        <v>31</v>
      </c>
      <c r="AA12" s="60"/>
      <c r="AB12" s="60"/>
      <c r="AC12" s="60"/>
    </row>
    <row r="13" spans="1:29" s="2" customFormat="1" ht="17.25" customHeight="1">
      <c r="A13" s="58"/>
      <c r="B13" s="49">
        <f ca="1">$I$10-18</f>
        <v>46279</v>
      </c>
      <c r="C13" s="50"/>
      <c r="D13" s="50"/>
      <c r="E13" s="51"/>
      <c r="F13" s="49">
        <f ca="1">$I$10-17</f>
        <v>46280</v>
      </c>
      <c r="G13" s="50"/>
      <c r="H13" s="50"/>
      <c r="I13" s="51"/>
      <c r="J13" s="49">
        <f ca="1">$I$10-16</f>
        <v>46281</v>
      </c>
      <c r="K13" s="50"/>
      <c r="L13" s="50"/>
      <c r="M13" s="51"/>
      <c r="N13" s="49">
        <f ca="1">$I$10-15</f>
        <v>46282</v>
      </c>
      <c r="O13" s="50"/>
      <c r="P13" s="50"/>
      <c r="Q13" s="51"/>
      <c r="R13" s="49">
        <f ca="1">$I$10-14</f>
        <v>46283</v>
      </c>
      <c r="S13" s="50"/>
      <c r="T13" s="50"/>
      <c r="U13" s="51"/>
      <c r="V13" s="52">
        <f ca="1">$I$10-13</f>
        <v>46284</v>
      </c>
      <c r="W13" s="53"/>
      <c r="X13" s="53"/>
      <c r="Y13" s="54"/>
      <c r="Z13" s="52">
        <f ca="1">$I$10-12</f>
        <v>46285</v>
      </c>
      <c r="AA13" s="53"/>
      <c r="AB13" s="53"/>
      <c r="AC13" s="54"/>
    </row>
    <row r="14" spans="1:29" s="4" customFormat="1" ht="69" customHeight="1">
      <c r="A14" s="19" t="s">
        <v>13</v>
      </c>
      <c r="B14" s="38" t="str">
        <f ca="1">IFERROR(VLOOKUP(B13,'Holiday Dates'!$A$1:$B$100,2,FALSE),"Worked")</f>
        <v>Worked</v>
      </c>
      <c r="C14" s="39"/>
      <c r="D14" s="39"/>
      <c r="E14" s="40"/>
      <c r="F14" s="38" t="str">
        <f ca="1">IFERROR(VLOOKUP(F13,'Holiday Dates'!$A$1:$B$100,2,FALSE),"Worked")</f>
        <v>Worked</v>
      </c>
      <c r="G14" s="39"/>
      <c r="H14" s="39"/>
      <c r="I14" s="40"/>
      <c r="J14" s="38" t="str">
        <f ca="1">IFERROR(VLOOKUP(J13,'Holiday Dates'!$A$1:$B$100,2,FALSE),"Worked")</f>
        <v>Worked</v>
      </c>
      <c r="K14" s="39"/>
      <c r="L14" s="39"/>
      <c r="M14" s="40"/>
      <c r="N14" s="38" t="str">
        <f ca="1">IFERROR(VLOOKUP(N13,'Holiday Dates'!$A$1:$B$100,2,FALSE),"Worked")</f>
        <v>Worked</v>
      </c>
      <c r="O14" s="39"/>
      <c r="P14" s="39"/>
      <c r="Q14" s="40"/>
      <c r="R14" s="38" t="str">
        <f ca="1">IFERROR(VLOOKUP(R13,'Holiday Dates'!$A$1:$B$100,2,FALSE),"Worked")</f>
        <v>Worked</v>
      </c>
      <c r="S14" s="39"/>
      <c r="T14" s="39"/>
      <c r="U14" s="40"/>
      <c r="V14" s="41"/>
      <c r="W14" s="42"/>
      <c r="X14" s="42"/>
      <c r="Y14" s="43"/>
      <c r="Z14" s="41"/>
      <c r="AA14" s="42"/>
      <c r="AB14" s="42"/>
      <c r="AC14" s="43"/>
    </row>
    <row r="15" spans="1:29" s="4" customFormat="1" ht="16.149999999999999" customHeight="1">
      <c r="A15" s="45" t="s">
        <v>24</v>
      </c>
      <c r="B15" s="47"/>
      <c r="C15" s="48"/>
      <c r="D15" s="47"/>
      <c r="E15" s="48"/>
      <c r="F15" s="47"/>
      <c r="G15" s="48"/>
      <c r="H15" s="47"/>
      <c r="I15" s="48"/>
      <c r="J15" s="47"/>
      <c r="K15" s="48"/>
      <c r="L15" s="47"/>
      <c r="M15" s="48"/>
      <c r="N15" s="47"/>
      <c r="O15" s="48"/>
      <c r="P15" s="47"/>
      <c r="Q15" s="48"/>
      <c r="R15" s="47"/>
      <c r="S15" s="48"/>
      <c r="T15" s="47"/>
      <c r="U15" s="48"/>
      <c r="V15" s="47"/>
      <c r="W15" s="48"/>
      <c r="X15" s="47"/>
      <c r="Y15" s="48"/>
      <c r="Z15" s="47"/>
      <c r="AA15" s="48"/>
      <c r="AB15" s="47"/>
      <c r="AC15" s="48"/>
    </row>
    <row r="16" spans="1:29" s="4" customFormat="1" ht="16.149999999999999" customHeight="1">
      <c r="A16" s="46"/>
      <c r="B16" s="30" t="str">
        <f>IF(OR(ISBLANK(B15), ISBLANK(D15)), "", MAX(0, (VLOOKUP(D15,OvertimeData[],2)-VLOOKUP(B15,OvertimeData[],2))/60-8.5))</f>
        <v/>
      </c>
      <c r="C16" s="31"/>
      <c r="D16" s="31"/>
      <c r="E16" s="32"/>
      <c r="F16" s="30" t="str">
        <f>IF(OR(ISBLANK(F15), ISBLANK(H15)), "", MAX(0, (VLOOKUP(H15,OvertimeData[],2)-VLOOKUP(F15,OvertimeData[],2))/60-8.5))</f>
        <v/>
      </c>
      <c r="G16" s="31"/>
      <c r="H16" s="31"/>
      <c r="I16" s="32"/>
      <c r="J16" s="30" t="str">
        <f>IF(OR(ISBLANK(J15), ISBLANK(L15)), "", MAX(0, (VLOOKUP(L15,OvertimeData[],2)-VLOOKUP(J15,OvertimeData[],2))/60-8.5))</f>
        <v/>
      </c>
      <c r="K16" s="31"/>
      <c r="L16" s="31"/>
      <c r="M16" s="32"/>
      <c r="N16" s="30" t="str">
        <f>IF(OR(ISBLANK(N15), ISBLANK(P15)), "", MAX(0, (VLOOKUP(P15,OvertimeData[],2)-VLOOKUP(N15,OvertimeData[],2))/60-8.5))</f>
        <v/>
      </c>
      <c r="O16" s="31"/>
      <c r="P16" s="31"/>
      <c r="Q16" s="32"/>
      <c r="R16" s="30" t="str">
        <f>IF(OR(ISBLANK(R15), ISBLANK(T15)), "", MAX(0, (VLOOKUP(T15,OvertimeData[],2)-VLOOKUP(R15,OvertimeData[],2))/60-8.5))</f>
        <v/>
      </c>
      <c r="S16" s="31"/>
      <c r="T16" s="31"/>
      <c r="U16" s="32"/>
      <c r="V16" s="30" t="str">
        <f>IF(OR(ISBLANK(V15), ISBLANK(X15)), "", MAX(0, (VLOOKUP(X15,OvertimeData[],2)-VLOOKUP(V15,OvertimeData[],2))/60-8.5))</f>
        <v/>
      </c>
      <c r="W16" s="31"/>
      <c r="X16" s="31"/>
      <c r="Y16" s="32"/>
      <c r="Z16" s="30" t="str">
        <f>IF(OR(ISBLANK(Z15), ISBLANK(AB15)), "", MAX(0, (VLOOKUP(AB15,OvertimeData[],2)-VLOOKUP(Z15,OvertimeData[],2))/60-8.5))</f>
        <v/>
      </c>
      <c r="AA16" s="31"/>
      <c r="AB16" s="31"/>
      <c r="AC16" s="32"/>
    </row>
    <row r="17" spans="1:29" s="4" customFormat="1" ht="16.5" customHeight="1">
      <c r="A17" s="23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56" t="str">
        <f>IF(ISBLANK(V14),"",INDEX(OvertimeData[Hour],MATCH(480,OvertimeData[Minutes], 0)))</f>
        <v/>
      </c>
      <c r="W17" s="56"/>
      <c r="X17" s="56"/>
      <c r="Y17" s="56"/>
      <c r="Z17" s="56" t="str">
        <f>IF(ISBLANK(Z14),"",INDEX(OvertimeData[Hour],MATCH(480,OvertimeData[Minutes], 0)))</f>
        <v/>
      </c>
      <c r="AA17" s="56"/>
      <c r="AB17" s="56" t="str">
        <f>IF(ISBLANK(Z14),"",INDEX(OvertimeData[Hour],MATCH(930,OvertimeData[Minutes], 0)))</f>
        <v/>
      </c>
      <c r="AC17" s="56"/>
    </row>
    <row r="18" spans="1:29" ht="16.5" customHeight="1"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5" t="str">
        <f>IF(ISBLANK(V21),"",INDEX(OvertimeData[Hour],MATCH(480,OvertimeData[Minutes], 0)))</f>
        <v/>
      </c>
      <c r="W18" s="55"/>
      <c r="X18" s="55"/>
      <c r="Y18" s="55"/>
      <c r="Z18" s="55" t="str">
        <f>IF(ISBLANK(Z21),"",INDEX(OvertimeData[Hour],MATCH(480,OvertimeData[Minutes], 0)))</f>
        <v/>
      </c>
      <c r="AA18" s="55"/>
      <c r="AB18" s="55" t="str">
        <f>IF(ISBLANK(Z21),"",INDEX(OvertimeData[Hour],MATCH(930,OvertimeData[Minutes], 0)))</f>
        <v/>
      </c>
      <c r="AC18" s="55"/>
    </row>
    <row r="19" spans="1:29" s="2" customFormat="1" ht="17.25" customHeight="1">
      <c r="A19" s="58">
        <f ca="1">_xlfn.ISOWEEKNUM(I10-7)</f>
        <v>39</v>
      </c>
      <c r="B19" s="59" t="s">
        <v>4</v>
      </c>
      <c r="C19" s="59"/>
      <c r="D19" s="59"/>
      <c r="E19" s="59"/>
      <c r="F19" s="59" t="s">
        <v>5</v>
      </c>
      <c r="G19" s="59"/>
      <c r="H19" s="59"/>
      <c r="I19" s="59"/>
      <c r="J19" s="59" t="s">
        <v>6</v>
      </c>
      <c r="K19" s="59"/>
      <c r="L19" s="59"/>
      <c r="M19" s="59"/>
      <c r="N19" s="59" t="s">
        <v>7</v>
      </c>
      <c r="O19" s="59"/>
      <c r="P19" s="59"/>
      <c r="Q19" s="59"/>
      <c r="R19" s="59" t="s">
        <v>8</v>
      </c>
      <c r="S19" s="59"/>
      <c r="T19" s="59"/>
      <c r="U19" s="59"/>
      <c r="V19" s="60" t="s">
        <v>32</v>
      </c>
      <c r="W19" s="60"/>
      <c r="X19" s="60"/>
      <c r="Y19" s="60"/>
      <c r="Z19" s="60" t="s">
        <v>31</v>
      </c>
      <c r="AA19" s="60"/>
      <c r="AB19" s="60"/>
      <c r="AC19" s="60"/>
    </row>
    <row r="20" spans="1:29" s="2" customFormat="1" ht="17.25" customHeight="1">
      <c r="A20" s="58"/>
      <c r="B20" s="49">
        <f ca="1">$I$10-11</f>
        <v>46286</v>
      </c>
      <c r="C20" s="50"/>
      <c r="D20" s="50"/>
      <c r="E20" s="51"/>
      <c r="F20" s="49">
        <f ca="1">$I$10-10</f>
        <v>46287</v>
      </c>
      <c r="G20" s="50"/>
      <c r="H20" s="50"/>
      <c r="I20" s="51"/>
      <c r="J20" s="49">
        <f ca="1">$I$10-9</f>
        <v>46288</v>
      </c>
      <c r="K20" s="50"/>
      <c r="L20" s="50"/>
      <c r="M20" s="51"/>
      <c r="N20" s="49">
        <f ca="1">$I$10-8</f>
        <v>46289</v>
      </c>
      <c r="O20" s="50"/>
      <c r="P20" s="50"/>
      <c r="Q20" s="51"/>
      <c r="R20" s="49">
        <f ca="1">$I$10-7</f>
        <v>46290</v>
      </c>
      <c r="S20" s="50"/>
      <c r="T20" s="50"/>
      <c r="U20" s="51"/>
      <c r="V20" s="52">
        <f ca="1">$I$10-6</f>
        <v>46291</v>
      </c>
      <c r="W20" s="53"/>
      <c r="X20" s="53"/>
      <c r="Y20" s="54"/>
      <c r="Z20" s="52">
        <f ca="1">$I$10-5</f>
        <v>46292</v>
      </c>
      <c r="AA20" s="53"/>
      <c r="AB20" s="53"/>
      <c r="AC20" s="54"/>
    </row>
    <row r="21" spans="1:29" s="4" customFormat="1" ht="69" customHeight="1">
      <c r="A21" s="19" t="s">
        <v>13</v>
      </c>
      <c r="B21" s="38" t="str">
        <f ca="1">IFERROR(VLOOKUP(B20,'Holiday Dates'!$A$1:$B$100,2,FALSE),"Worked")</f>
        <v>Worked</v>
      </c>
      <c r="C21" s="39"/>
      <c r="D21" s="39"/>
      <c r="E21" s="40"/>
      <c r="F21" s="38" t="str">
        <f ca="1">IFERROR(VLOOKUP(F20,'Holiday Dates'!$A$1:$B$100,2,FALSE),"Worked")</f>
        <v>Worked</v>
      </c>
      <c r="G21" s="39"/>
      <c r="H21" s="39"/>
      <c r="I21" s="40"/>
      <c r="J21" s="38" t="str">
        <f ca="1">IFERROR(VLOOKUP(J20,'Holiday Dates'!$A$1:$B$100,2,FALSE),"Worked")</f>
        <v>Worked</v>
      </c>
      <c r="K21" s="39"/>
      <c r="L21" s="39"/>
      <c r="M21" s="40"/>
      <c r="N21" s="38" t="str">
        <f ca="1">IFERROR(VLOOKUP(N20,'Holiday Dates'!$A$1:$B$100,2,FALSE),"Worked")</f>
        <v>Worked</v>
      </c>
      <c r="O21" s="39"/>
      <c r="P21" s="39"/>
      <c r="Q21" s="40"/>
      <c r="R21" s="38" t="s">
        <v>12</v>
      </c>
      <c r="S21" s="39"/>
      <c r="T21" s="39"/>
      <c r="U21" s="40"/>
      <c r="V21" s="41"/>
      <c r="W21" s="42"/>
      <c r="X21" s="42"/>
      <c r="Y21" s="43"/>
      <c r="Z21" s="41"/>
      <c r="AA21" s="42"/>
      <c r="AB21" s="42"/>
      <c r="AC21" s="43"/>
    </row>
    <row r="22" spans="1:29" s="4" customFormat="1" ht="16.149999999999999" customHeight="1">
      <c r="A22" s="45" t="s">
        <v>24</v>
      </c>
      <c r="B22" s="47"/>
      <c r="C22" s="48"/>
      <c r="D22" s="47"/>
      <c r="E22" s="48"/>
      <c r="F22" s="47"/>
      <c r="G22" s="48"/>
      <c r="H22" s="47"/>
      <c r="I22" s="48"/>
      <c r="J22" s="47"/>
      <c r="K22" s="48"/>
      <c r="L22" s="47"/>
      <c r="M22" s="48"/>
      <c r="N22" s="47"/>
      <c r="O22" s="48"/>
      <c r="P22" s="47"/>
      <c r="Q22" s="48"/>
      <c r="R22" s="47"/>
      <c r="S22" s="48"/>
      <c r="T22" s="47"/>
      <c r="U22" s="48"/>
      <c r="V22" s="47"/>
      <c r="W22" s="48"/>
      <c r="X22" s="47"/>
      <c r="Y22" s="48"/>
      <c r="Z22" s="47"/>
      <c r="AA22" s="48"/>
      <c r="AB22" s="47"/>
      <c r="AC22" s="48"/>
    </row>
    <row r="23" spans="1:29" s="4" customFormat="1" ht="16.149999999999999" customHeight="1">
      <c r="A23" s="46"/>
      <c r="B23" s="30" t="str">
        <f>IF(OR(ISBLANK(B22), ISBLANK(D22)), "", MAX(0, (VLOOKUP(D22,OvertimeData[],2)-VLOOKUP(B22,OvertimeData[],2))/60-8.5))</f>
        <v/>
      </c>
      <c r="C23" s="31"/>
      <c r="D23" s="31"/>
      <c r="E23" s="32"/>
      <c r="F23" s="30" t="str">
        <f>IF(OR(ISBLANK(F22), ISBLANK(H22)), "", MAX(0, (VLOOKUP(H22,OvertimeData[],2)-VLOOKUP(F22,OvertimeData[],2))/60-8.5))</f>
        <v/>
      </c>
      <c r="G23" s="31"/>
      <c r="H23" s="31"/>
      <c r="I23" s="32"/>
      <c r="J23" s="30" t="str">
        <f>IF(OR(ISBLANK(J22), ISBLANK(L22)), "", MAX(0, (VLOOKUP(L22,OvertimeData[],2)-VLOOKUP(J22,OvertimeData[],2))/60-8.5))</f>
        <v/>
      </c>
      <c r="K23" s="31"/>
      <c r="L23" s="31"/>
      <c r="M23" s="32"/>
      <c r="N23" s="30" t="str">
        <f>IF(OR(ISBLANK(N22), ISBLANK(P22)), "", MAX(0, (VLOOKUP(P22,OvertimeData[],2)-VLOOKUP(N22,OvertimeData[],2))/60-8.5))</f>
        <v/>
      </c>
      <c r="O23" s="31"/>
      <c r="P23" s="31"/>
      <c r="Q23" s="32"/>
      <c r="R23" s="30" t="str">
        <f>IF(OR(ISBLANK(R22), ISBLANK(T22)), "", MAX(0, (VLOOKUP(T22,OvertimeData[],2)-VLOOKUP(R22,OvertimeData[],2))/60-8.5))</f>
        <v/>
      </c>
      <c r="S23" s="31"/>
      <c r="T23" s="31"/>
      <c r="U23" s="32"/>
      <c r="V23" s="30" t="str">
        <f>IF(OR(ISBLANK(V22), ISBLANK(X22)), "", MAX(0, (VLOOKUP(X22,OvertimeData[],2)-VLOOKUP(V22,OvertimeData[],2))/60-8.5))</f>
        <v/>
      </c>
      <c r="W23" s="31"/>
      <c r="X23" s="31"/>
      <c r="Y23" s="32"/>
      <c r="Z23" s="30" t="str">
        <f>IF(OR(ISBLANK(Z22), ISBLANK(AB22)), "", MAX(0, (VLOOKUP(AB22,OvertimeData[],2)-VLOOKUP(Z22,OvertimeData[],2))/60-8.5))</f>
        <v/>
      </c>
      <c r="AA23" s="31"/>
      <c r="AB23" s="31"/>
      <c r="AC23" s="32"/>
    </row>
    <row r="24" spans="1:29" s="4" customFormat="1" ht="22.9" customHeight="1">
      <c r="F24" s="16"/>
      <c r="G24" s="16"/>
      <c r="H24" s="17"/>
      <c r="I24" s="17"/>
      <c r="K24" s="15"/>
      <c r="L24" s="15"/>
      <c r="M24" s="15"/>
      <c r="N24" s="33" t="s">
        <v>30</v>
      </c>
      <c r="O24" s="33"/>
      <c r="P24" s="33"/>
      <c r="Q24" s="33"/>
      <c r="R24" s="33"/>
      <c r="S24" s="33"/>
      <c r="T24" s="33"/>
      <c r="U24" s="33"/>
      <c r="V24" s="33"/>
      <c r="W24" s="33"/>
      <c r="X24" s="34">
        <f>SUM($B$16:$Y$16)+SUM($B$23:$Y$23)</f>
        <v>0</v>
      </c>
      <c r="Y24" s="34"/>
      <c r="Z24" s="35" t="s">
        <v>29</v>
      </c>
      <c r="AA24" s="35"/>
      <c r="AB24" s="35"/>
      <c r="AC24" s="35"/>
    </row>
    <row r="25" spans="1:29" ht="51.75" customHeight="1"/>
    <row r="26" spans="1:29" ht="23">
      <c r="B26" s="36"/>
      <c r="C26" s="36"/>
      <c r="D26" s="36"/>
      <c r="E26" s="36"/>
      <c r="F26" s="36"/>
      <c r="G26" s="36"/>
      <c r="H26" s="36"/>
      <c r="I26" s="36"/>
      <c r="W26" s="37">
        <f ca="1">TODAY()</f>
        <v>46295</v>
      </c>
      <c r="X26" s="37"/>
      <c r="Y26" s="37"/>
      <c r="Z26" s="37"/>
    </row>
    <row r="27" spans="1:29">
      <c r="B27" s="29" t="s">
        <v>9</v>
      </c>
      <c r="C27" s="29"/>
      <c r="D27" s="29"/>
      <c r="E27" s="29"/>
      <c r="F27" s="29"/>
      <c r="G27" s="29"/>
      <c r="H27" s="29"/>
      <c r="I27" s="29"/>
      <c r="W27" s="29" t="s">
        <v>11</v>
      </c>
      <c r="X27" s="29"/>
      <c r="Y27" s="29"/>
      <c r="Z27" s="29"/>
    </row>
    <row r="28" spans="1:29" ht="51.75" customHeight="1">
      <c r="W28" s="5"/>
      <c r="X28" s="5"/>
      <c r="Y28" s="5"/>
      <c r="Z28" s="5"/>
    </row>
    <row r="29" spans="1:29" ht="15">
      <c r="B29" s="3"/>
      <c r="C29" s="3"/>
      <c r="D29" s="3"/>
      <c r="E29" s="3"/>
      <c r="F29" s="3"/>
      <c r="G29" s="3"/>
      <c r="H29" s="3"/>
      <c r="I29" s="3"/>
      <c r="W29" s="44"/>
      <c r="X29" s="44"/>
      <c r="Y29" s="44"/>
      <c r="Z29" s="44"/>
    </row>
    <row r="30" spans="1:29">
      <c r="B30" s="29" t="s">
        <v>10</v>
      </c>
      <c r="C30" s="29"/>
      <c r="D30" s="29"/>
      <c r="E30" s="29"/>
      <c r="F30" s="29"/>
      <c r="G30" s="29"/>
      <c r="H30" s="29"/>
      <c r="I30" s="29"/>
      <c r="W30" s="29" t="s">
        <v>11</v>
      </c>
      <c r="X30" s="29"/>
      <c r="Y30" s="29"/>
      <c r="Z30" s="29"/>
    </row>
    <row r="31" spans="1:29" ht="15">
      <c r="N31" s="5"/>
      <c r="O31" s="5"/>
      <c r="P31" s="5"/>
      <c r="Q31" s="5"/>
    </row>
    <row r="32" spans="1:29" ht="15">
      <c r="N32" s="5"/>
      <c r="O32" s="5"/>
      <c r="P32" s="5"/>
      <c r="Q32" s="5"/>
    </row>
  </sheetData>
  <mergeCells count="129">
    <mergeCell ref="Z12:AC12"/>
    <mergeCell ref="B13:E13"/>
    <mergeCell ref="F13:I13"/>
    <mergeCell ref="J13:M13"/>
    <mergeCell ref="N13:Q13"/>
    <mergeCell ref="R13:U13"/>
    <mergeCell ref="V13:Y13"/>
    <mergeCell ref="Z13:AC13"/>
    <mergeCell ref="A1:AC1"/>
    <mergeCell ref="A3:AC3"/>
    <mergeCell ref="I10:L10"/>
    <mergeCell ref="A12:A13"/>
    <mergeCell ref="B12:E12"/>
    <mergeCell ref="F12:I12"/>
    <mergeCell ref="J12:M12"/>
    <mergeCell ref="N12:Q12"/>
    <mergeCell ref="R12:U12"/>
    <mergeCell ref="V12:Y12"/>
    <mergeCell ref="R15:S15"/>
    <mergeCell ref="T15:U15"/>
    <mergeCell ref="V15:W15"/>
    <mergeCell ref="X15:Y15"/>
    <mergeCell ref="Z15:AA15"/>
    <mergeCell ref="AB15:AC15"/>
    <mergeCell ref="Z14:AC14"/>
    <mergeCell ref="A15:A16"/>
    <mergeCell ref="B15:C15"/>
    <mergeCell ref="D15:E15"/>
    <mergeCell ref="F15:G15"/>
    <mergeCell ref="H15:I15"/>
    <mergeCell ref="J15:K15"/>
    <mergeCell ref="L15:M15"/>
    <mergeCell ref="N15:O15"/>
    <mergeCell ref="P15:Q15"/>
    <mergeCell ref="B14:E14"/>
    <mergeCell ref="F14:I14"/>
    <mergeCell ref="J14:M14"/>
    <mergeCell ref="N14:Q14"/>
    <mergeCell ref="R14:U14"/>
    <mergeCell ref="V14:Y14"/>
    <mergeCell ref="Z16:AC16"/>
    <mergeCell ref="B16:E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F16:I16"/>
    <mergeCell ref="J16:M16"/>
    <mergeCell ref="N16:Q16"/>
    <mergeCell ref="R16:U16"/>
    <mergeCell ref="V16:Y16"/>
    <mergeCell ref="T17:U17"/>
    <mergeCell ref="V17:W17"/>
    <mergeCell ref="X17:Y17"/>
    <mergeCell ref="Z17:AA17"/>
    <mergeCell ref="AB17:AC17"/>
    <mergeCell ref="B18:C18"/>
    <mergeCell ref="D18:E18"/>
    <mergeCell ref="F18:G18"/>
    <mergeCell ref="H18:I18"/>
    <mergeCell ref="J18:K18"/>
    <mergeCell ref="A19:A20"/>
    <mergeCell ref="B19:E19"/>
    <mergeCell ref="F19:I19"/>
    <mergeCell ref="J19:M19"/>
    <mergeCell ref="N19:Q19"/>
    <mergeCell ref="R19:U19"/>
    <mergeCell ref="V19:Y19"/>
    <mergeCell ref="L18:M18"/>
    <mergeCell ref="N18:O18"/>
    <mergeCell ref="P18:Q18"/>
    <mergeCell ref="R18:S18"/>
    <mergeCell ref="T18:U18"/>
    <mergeCell ref="V18:W18"/>
    <mergeCell ref="Z19:AC19"/>
    <mergeCell ref="B20:E20"/>
    <mergeCell ref="F20:I20"/>
    <mergeCell ref="J20:M20"/>
    <mergeCell ref="N20:Q20"/>
    <mergeCell ref="R20:U20"/>
    <mergeCell ref="V20:Y20"/>
    <mergeCell ref="Z20:AC20"/>
    <mergeCell ref="X18:Y18"/>
    <mergeCell ref="Z18:AA18"/>
    <mergeCell ref="AB18:AC18"/>
    <mergeCell ref="R22:S22"/>
    <mergeCell ref="T22:U22"/>
    <mergeCell ref="V22:W22"/>
    <mergeCell ref="X22:Y22"/>
    <mergeCell ref="Z22:AA22"/>
    <mergeCell ref="AB22:AC22"/>
    <mergeCell ref="Z21:AC21"/>
    <mergeCell ref="A22:A23"/>
    <mergeCell ref="B22:C22"/>
    <mergeCell ref="D22:E22"/>
    <mergeCell ref="F22:G22"/>
    <mergeCell ref="H22:I22"/>
    <mergeCell ref="J22:K22"/>
    <mergeCell ref="L22:M22"/>
    <mergeCell ref="N22:O22"/>
    <mergeCell ref="P22:Q22"/>
    <mergeCell ref="B21:E21"/>
    <mergeCell ref="F21:I21"/>
    <mergeCell ref="J21:M21"/>
    <mergeCell ref="N21:Q21"/>
    <mergeCell ref="R21:U21"/>
    <mergeCell ref="V21:Y21"/>
    <mergeCell ref="B27:I27"/>
    <mergeCell ref="W27:Z27"/>
    <mergeCell ref="W29:Z29"/>
    <mergeCell ref="B30:I30"/>
    <mergeCell ref="W30:Z30"/>
    <mergeCell ref="Z23:AC23"/>
    <mergeCell ref="N24:W24"/>
    <mergeCell ref="X24:Y24"/>
    <mergeCell ref="Z24:AC24"/>
    <mergeCell ref="B26:I26"/>
    <mergeCell ref="W26:Z26"/>
    <mergeCell ref="B23:E23"/>
    <mergeCell ref="F23:I23"/>
    <mergeCell ref="J23:M23"/>
    <mergeCell ref="N23:Q23"/>
    <mergeCell ref="R23:U23"/>
    <mergeCell ref="V23:Y23"/>
  </mergeCells>
  <pageMargins left="0.5" right="0.5" top="0.75" bottom="0.75" header="0.3" footer="0.3"/>
  <pageSetup orientation="portrait" r:id="rId1"/>
  <headerFooter>
    <oddHeader xml:space="preserve">&amp;L&amp;K08+000C&amp;&amp;D Working Timesheet&amp;R&amp;K08+0002024
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8DECC21B-5448-42BF-B80E-20B7EC22D097}">
          <x14:formula1>
            <xm:f>'Working Infos'!$C$2:$C$77</xm:f>
          </x14:formula1>
          <xm:sqref>B15:AC15 B22:AC22</xm:sqref>
        </x14:dataValidation>
        <x14:dataValidation type="list" showInputMessage="1" showErrorMessage="1" xr:uid="{18A389D1-784B-46D1-ADE7-8BBEA6275A1D}">
          <x14:formula1>
            <xm:f>'Working Infos'!$A$2:$A$9</xm:f>
          </x14:formula1>
          <xm:sqref>B14:AC14 B21:AC21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9303D-48CC-4A8A-957B-BBA328995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Working Infos</vt:lpstr>
      <vt:lpstr>Holiday Dates</vt:lpstr>
      <vt:lpstr>Timesheet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2026-09-01T00:06:59Z</cp:lastPrinted>
  <dcterms:created xsi:type="dcterms:W3CDTF">2012-12-12T17:48:01Z</dcterms:created>
  <dcterms:modified xsi:type="dcterms:W3CDTF">2026-09-30T22:34:52Z</dcterms:modified>
</cp:coreProperties>
</file>